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Dashboard" sheetId="2" state="visible" r:id="rId4"/>
    <sheet name="Settings" sheetId="3" state="visible" r:id="rId5"/>
    <sheet name="Trade Log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<sst xmlns="http://schemas.openxmlformats.org/spreadsheetml/2006/main" count="88" uniqueCount="85">
  <si>
    <t xml:space="preserve">FXDARWISH  —  Trading Journal</t>
  </si>
  <si>
    <t xml:space="preserve">Trading with Precision  ·  ICT / SMC</t>
  </si>
  <si>
    <t xml:space="preserve">What this is</t>
  </si>
  <si>
    <t xml:space="preserve">A complete trade journal built around ICT / SMC. Log each trade and the Dashboard auto-calculates win rate, expectancy, profit factor, R-multiples, drawdown and your equity balance.</t>
  </si>
  <si>
    <t xml:space="preserve">How to use it — 3 steps</t>
  </si>
  <si>
    <t xml:space="preserve">▸</t>
  </si>
  <si>
    <t xml:space="preserve">1   Set up once</t>
  </si>
  <si>
    <t xml:space="preserve">Open the Settings tab. Enter your Starting Balance and target Risk %. Verify the value-per-lot figures against your MT5 / OneRoyal spec.</t>
  </si>
  <si>
    <t xml:space="preserve">2   Log your trades</t>
  </si>
  <si>
    <t xml:space="preserve">On the Trade Log tab, fill only the blue input columns: Date, Instrument, Direction, Session, Setup, Lot Size, Entry, Stop, Take Profit and Exit. Use the dropdowns.</t>
  </si>
  <si>
    <t xml:space="preserve">3   Read the Dashboard</t>
  </si>
  <si>
    <t xml:space="preserve">Everything else calculates itself. Check the Dashboard tab for your live stats.</t>
  </si>
  <si>
    <t xml:space="preserve">Which cells do I fill?</t>
  </si>
  <si>
    <t xml:space="preserve">Blue cells = your inputs</t>
  </si>
  <si>
    <t xml:space="preserve">Grey/auto cells = calculated — don't edit</t>
  </si>
  <si>
    <t xml:space="preserve">Keep going</t>
  </si>
  <si>
    <t xml:space="preserve">Free community, weekly analysis and the full course:</t>
  </si>
  <si>
    <t xml:space="preserve">fxdarwish.com/links</t>
  </si>
  <si>
    <t xml:space="preserve">© FXDARWISH  ·  Trading with Precision  ·  @fxdarwish</t>
  </si>
  <si>
    <t xml:space="preserve">FXDARWISH  -  Trading Performance</t>
  </si>
  <si>
    <t xml:space="preserve">Auto-calculated from the Trade Log</t>
  </si>
  <si>
    <t xml:space="preserve">Total Trades</t>
  </si>
  <si>
    <t xml:space="preserve">Wins</t>
  </si>
  <si>
    <t xml:space="preserve">Losses</t>
  </si>
  <si>
    <t xml:space="preserve">Break-even</t>
  </si>
  <si>
    <t xml:space="preserve">Win Rate</t>
  </si>
  <si>
    <t xml:space="preserve">Net P&amp;L</t>
  </si>
  <si>
    <t xml:space="preserve">Account Return %</t>
  </si>
  <si>
    <t xml:space="preserve">Profit Factor</t>
  </si>
  <si>
    <t xml:space="preserve">Expectancy / Trade</t>
  </si>
  <si>
    <t xml:space="preserve">Avg Realized R</t>
  </si>
  <si>
    <t xml:space="preserve">Average Win</t>
  </si>
  <si>
    <t xml:space="preserve">Average Loss</t>
  </si>
  <si>
    <t xml:space="preserve">Avg Reward:Risk</t>
  </si>
  <si>
    <t xml:space="preserve">Largest Win</t>
  </si>
  <si>
    <t xml:space="preserve">Largest Loss</t>
  </si>
  <si>
    <t xml:space="preserve">Max Drawdown</t>
  </si>
  <si>
    <t xml:space="preserve">Avg Risk % / Trade</t>
  </si>
  <si>
    <t xml:space="preserve">Total Pips / Points</t>
  </si>
  <si>
    <t xml:space="preserve">Current Balance</t>
  </si>
  <si>
    <t xml:space="preserve">Account Settings</t>
  </si>
  <si>
    <t xml:space="preserve">Starting Balance ($)</t>
  </si>
  <si>
    <t xml:space="preserve">Target Risk per Trade (%)</t>
  </si>
  <si>
    <t xml:space="preserve">Instrument Table  -  edit values to match your broker spec (OneRoyal / MT5)</t>
  </si>
  <si>
    <t xml:space="preserve">Instrument</t>
  </si>
  <si>
    <t xml:space="preserve">Pip / Point Size</t>
  </si>
  <si>
    <t xml:space="preserve">Value per 1.0 Lot ($)</t>
  </si>
  <si>
    <t xml:space="preserve">EURUSD</t>
  </si>
  <si>
    <t xml:space="preserve">GBPUSD</t>
  </si>
  <si>
    <t xml:space="preserve">USDJPY</t>
  </si>
  <si>
    <t xml:space="preserve">GBPJPY</t>
  </si>
  <si>
    <t xml:space="preserve">AUDUSD</t>
  </si>
  <si>
    <t xml:space="preserve">USDCAD</t>
  </si>
  <si>
    <t xml:space="preserve">XAUUSD</t>
  </si>
  <si>
    <t xml:space="preserve">NAS100</t>
  </si>
  <si>
    <t xml:space="preserve">US30</t>
  </si>
  <si>
    <t xml:space="preserve">SPX500</t>
  </si>
  <si>
    <t xml:space="preserve">US100</t>
  </si>
  <si>
    <t xml:space="preserve">BTCUSD</t>
  </si>
  <si>
    <t xml:space="preserve">Note: value per lot depends on broker &amp; account type. Verify from the Specification tab in MT5 or a small test trade, then update the blue figures.</t>
  </si>
  <si>
    <t xml:space="preserve">#</t>
  </si>
  <si>
    <t xml:space="preserve">Date</t>
  </si>
  <si>
    <t xml:space="preserve">Direction</t>
  </si>
  <si>
    <t xml:space="preserve">Session</t>
  </si>
  <si>
    <t xml:space="preserve">Setup</t>
  </si>
  <si>
    <t xml:space="preserve">Lot Size</t>
  </si>
  <si>
    <t xml:space="preserve">Entry</t>
  </si>
  <si>
    <t xml:space="preserve">Stop Loss</t>
  </si>
  <si>
    <t xml:space="preserve">Take Profit</t>
  </si>
  <si>
    <t xml:space="preserve">Exit</t>
  </si>
  <si>
    <t xml:space="preserve">Pip Size</t>
  </si>
  <si>
    <t xml:space="preserve">Pip Value</t>
  </si>
  <si>
    <t xml:space="preserve">Risk (pips)</t>
  </si>
  <si>
    <t xml:space="preserve">Reward (pips)</t>
  </si>
  <si>
    <t xml:space="preserve">Planned R</t>
  </si>
  <si>
    <t xml:space="preserve">Result (pips)</t>
  </si>
  <si>
    <t xml:space="preserve">Risk ($)</t>
  </si>
  <si>
    <t xml:space="preserve">P&amp;L ($)</t>
  </si>
  <si>
    <t xml:space="preserve">Realized R</t>
  </si>
  <si>
    <t xml:space="preserve">Outcome</t>
  </si>
  <si>
    <t xml:space="preserve">Risk %</t>
  </si>
  <si>
    <t xml:space="preserve">Balance ($)</t>
  </si>
  <si>
    <t xml:space="preserve">Peak Equity</t>
  </si>
  <si>
    <t xml:space="preserve">Drawdown %</t>
  </si>
  <si>
    <t xml:space="preserve">Notes / Discipline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</si>
</sst>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"/>
    <numFmt numFmtId="166" formatCode="0.0%"/>
    <numFmt numFmtId="167" formatCode="\$#,##0.00;[RED]&quot;($&quot;#,##0.00\)"/>
    <numFmt numFmtId="168" formatCode="0.00\x"/>
    <numFmt numFmtId="169" formatCode="0.00\R"/>
    <numFmt numFmtId="170" formatCode="\$#,##0.00"/>
    <numFmt numFmtId="171" formatCode="0.00%"/>
    <numFmt numFmtId="172" formatCode="#,##0.0"/>
    <numFmt numFmtId="173" formatCode="0.#####"/>
    <numFmt numFmtId="174" formatCode="0.00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2F7DFF"/>
      <name val="Arial"/>
      <family val="0"/>
      <charset val="1"/>
    </font>
    <font>
      <b val="true"/>
      <sz val="11"/>
      <color rgb="FF0F2A4A"/>
      <name val="Arial"/>
      <family val="0"/>
      <charset val="1"/>
    </font>
    <font>
      <sz val="10"/>
      <color rgb="FF7F7F7F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9"/>
      <color rgb="FF7F7F7F"/>
      <name val="Arial"/>
      <family val="0"/>
      <charset val="1"/>
    </font>
    <font>
      <b val="true"/>
      <sz val="18"/>
      <color rgb="FF0F2A4A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0F2A4A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4"/>
      <color rgb="FF0F2A4A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1"/>
      <color rgb="FF1F6FEB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7F7F7F"/>
      <name val="Arial"/>
      <family val="0"/>
      <charset val="1"/>
    </font>
    <font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F2A4A"/>
        <bgColor rgb="FF16365C"/>
      </patternFill>
    </fill>
    <fill>
      <patternFill patternType="solid">
        <fgColor rgb="FF2F7DFF"/>
        <bgColor rgb="FF1F6FEB"/>
      </patternFill>
    </fill>
    <fill>
      <patternFill patternType="solid">
        <fgColor rgb="FF16365C"/>
        <bgColor rgb="FF0F2A4A"/>
      </patternFill>
    </fill>
    <fill>
      <patternFill patternType="solid">
        <fgColor rgb="FFDDEBF7"/>
        <bgColor rgb="FFEAF1FB"/>
      </patternFill>
    </fill>
    <fill>
      <patternFill patternType="solid">
        <fgColor rgb="FFEAF1FB"/>
        <bgColor rgb="FFF4F6F9"/>
      </patternFill>
    </fill>
    <fill>
      <patternFill patternType="solid">
        <fgColor rgb="FFFFF2CC"/>
        <bgColor rgb="FFF4F6F9"/>
      </patternFill>
    </fill>
    <fill>
      <patternFill patternType="solid">
        <fgColor rgb="FFF4F6F9"/>
        <bgColor rgb="FFEAF1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2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2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2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2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2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2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26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26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26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26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26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6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26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b val="1"/>
        <color rgb="FF006100"/>
      </font>
      <fill>
        <patternFill>
          <bgColor rgb="FFC6EF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7F6000"/>
      </font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7F6000"/>
      <rgbColor rgb="FF800080"/>
      <rgbColor rgb="FF008080"/>
      <rgbColor rgb="FFD9D9D9"/>
      <rgbColor rgb="FF7F7F7F"/>
      <rgbColor rgb="FF9999FF"/>
      <rgbColor rgb="FF993366"/>
      <rgbColor rgb="FFFFF2CC"/>
      <rgbColor rgb="FFDDEBF7"/>
      <rgbColor rgb="FF660066"/>
      <rgbColor rgb="FFFF8080"/>
      <rgbColor rgb="FF2F7DFF"/>
      <rgbColor rgb="FFD0D7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1FB"/>
      <rgbColor rgb="FFC6EFCE"/>
      <rgbColor rgb="FFFFEB9C"/>
      <rgbColor rgb="FFF4F6F9"/>
      <rgbColor rgb="FFFF99CC"/>
      <rgbColor rgb="FFCC99FF"/>
      <rgbColor rgb="FFFFC7CE"/>
      <rgbColor rgb="FF1F6FEB"/>
      <rgbColor rgb="FF33CCCC"/>
      <rgbColor rgb="FF99CC00"/>
      <rgbColor rgb="FFFFCC00"/>
      <rgbColor rgb="FFFF9900"/>
      <rgbColor rgb="FFFF6600"/>
      <rgbColor rgb="FF4A7EBB"/>
      <rgbColor rgb="FF878787"/>
      <rgbColor rgb="FF16365C"/>
      <rgbColor rgb="FF339966"/>
      <rgbColor rgb="FF003300"/>
      <rgbColor rgb="FF333300"/>
      <rgbColor rgb="FF993300"/>
      <rgbColor rgb="FF993366"/>
      <rgbColor rgb="FF1F4E79"/>
      <rgbColor rgb="FF0F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Equity 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'Trade Log'!W1</c:f>
              <c:strCache>
                <c:ptCount val="1"/>
                <c:pt idx="0">
                  <c:v>Balance ($)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'Trade Log'!$W$2:$W$201</c:f>
              <c:numCache>
                <c:formatCode>General</c:formatCode>
                <c:ptCount val="200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3998555"/>
        <c:axId val="24490385"/>
      </c:lineChart>
      <c:catAx>
        <c:axId val="7399855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490385"/>
        <c:crosses val="autoZero"/>
        <c:auto val="1"/>
        <c:lblAlgn val="ctr"/>
        <c:lblOffset val="100"/>
        <c:noMultiLvlLbl val="0"/>
      </c:catAx>
      <c:valAx>
        <c:axId val="244903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99855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3</xdr:row>
      <xdr:rowOff>101160</xdr:rowOff>
    </xdr:from>
    <xdr:to>
      <xdr:col>15</xdr:col>
      <xdr:colOff>473040</xdr:colOff>
      <xdr:row>15</xdr:row>
      <xdr:rowOff>111240</xdr:rowOff>
    </xdr:to>
    <xdr:graphicFrame>
      <xdr:nvGraphicFramePr>
        <xdr:cNvPr id="0" name="Chart 1"/>
        <xdr:cNvGraphicFramePr/>
      </xdr:nvGraphicFramePr>
      <xdr:xfrm>
        <a:off x="4347360" y="758520"/>
        <a:ext cx="7199280" cy="323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4"/>
    <col collapsed="false" customWidth="true" hidden="false" outlineLevel="0" max="3" min="3" style="0" width="60"/>
    <col collapsed="false" customWidth="true" hidden="false" outlineLevel="0" max="4" min="4" style="0" width="28"/>
    <col collapsed="false" customWidth="true" hidden="false" outlineLevel="0" max="5" min="5" style="0" width="2.5"/>
  </cols>
  <sheetData>
    <row r="2" customFormat="false" ht="15" hidden="false" customHeight="false" outlineLevel="0" collapsed="false">
      <c r="B2" s="1" t="s">
        <v>0</v>
      </c>
      <c r="C2" s="1"/>
      <c r="D2" s="1"/>
    </row>
    <row r="3" customFormat="false" ht="15" hidden="false" customHeight="false" outlineLevel="0" collapsed="false">
      <c r="B3" s="1"/>
      <c r="C3" s="1"/>
      <c r="D3" s="1"/>
    </row>
    <row r="4" customFormat="false" ht="15" hidden="false" customHeight="false" outlineLevel="0" collapsed="false">
      <c r="B4" s="1"/>
      <c r="C4" s="1"/>
      <c r="D4" s="1"/>
    </row>
    <row r="5" customFormat="false" ht="15" hidden="false" customHeight="false" outlineLevel="0" collapsed="false">
      <c r="B5" s="2" t="s">
        <v>1</v>
      </c>
      <c r="C5" s="2"/>
      <c r="D5" s="2"/>
    </row>
    <row r="7" customFormat="false" ht="24" hidden="false" customHeight="true" outlineLevel="0" collapsed="false">
      <c r="B7" s="3" t="s">
        <v>2</v>
      </c>
      <c r="C7" s="3"/>
      <c r="D7" s="3"/>
    </row>
    <row r="8" customFormat="false" ht="42" hidden="false" customHeight="true" outlineLevel="0" collapsed="false">
      <c r="C8" s="4" t="s">
        <v>3</v>
      </c>
      <c r="D8" s="4"/>
    </row>
    <row r="10" customFormat="false" ht="24" hidden="false" customHeight="true" outlineLevel="0" collapsed="false">
      <c r="B10" s="3" t="s">
        <v>4</v>
      </c>
      <c r="C10" s="3"/>
      <c r="D10" s="3"/>
    </row>
    <row r="11" customFormat="false" ht="15" hidden="false" customHeight="false" outlineLevel="0" collapsed="false">
      <c r="B11" s="5" t="s">
        <v>5</v>
      </c>
      <c r="C11" s="6" t="s">
        <v>6</v>
      </c>
    </row>
    <row r="12" customFormat="false" ht="30" hidden="false" customHeight="true" outlineLevel="0" collapsed="false">
      <c r="C12" s="7" t="s">
        <v>7</v>
      </c>
      <c r="D12" s="7"/>
    </row>
    <row r="13" customFormat="false" ht="15" hidden="false" customHeight="false" outlineLevel="0" collapsed="false">
      <c r="B13" s="5" t="s">
        <v>5</v>
      </c>
      <c r="C13" s="6" t="s">
        <v>8</v>
      </c>
    </row>
    <row r="14" customFormat="false" ht="30" hidden="false" customHeight="true" outlineLevel="0" collapsed="false">
      <c r="C14" s="7" t="s">
        <v>9</v>
      </c>
      <c r="D14" s="7"/>
    </row>
    <row r="15" customFormat="false" ht="15" hidden="false" customHeight="false" outlineLevel="0" collapsed="false">
      <c r="B15" s="5" t="s">
        <v>5</v>
      </c>
      <c r="C15" s="6" t="s">
        <v>10</v>
      </c>
    </row>
    <row r="16" customFormat="false" ht="30" hidden="false" customHeight="true" outlineLevel="0" collapsed="false">
      <c r="C16" s="7" t="s">
        <v>11</v>
      </c>
      <c r="D16" s="7"/>
    </row>
    <row r="18" customFormat="false" ht="24" hidden="false" customHeight="true" outlineLevel="0" collapsed="false">
      <c r="B18" s="3" t="s">
        <v>12</v>
      </c>
      <c r="C18" s="3"/>
      <c r="D18" s="3"/>
    </row>
    <row r="19" customFormat="false" ht="23.85" hidden="false" customHeight="false" outlineLevel="0" collapsed="false">
      <c r="C19" s="8" t="s">
        <v>13</v>
      </c>
      <c r="D19" s="9" t="s">
        <v>14</v>
      </c>
    </row>
    <row r="21" customFormat="false" ht="24" hidden="false" customHeight="true" outlineLevel="0" collapsed="false">
      <c r="B21" s="3" t="s">
        <v>15</v>
      </c>
      <c r="C21" s="3"/>
      <c r="D21" s="3"/>
    </row>
    <row r="22" customFormat="false" ht="15" hidden="false" customHeight="true" outlineLevel="0" collapsed="false">
      <c r="C22" s="4" t="s">
        <v>16</v>
      </c>
      <c r="D22" s="4"/>
    </row>
    <row r="23" customFormat="false" ht="27.75" hidden="false" customHeight="true" outlineLevel="0" collapsed="false">
      <c r="C23" s="10" t="s">
        <v>17</v>
      </c>
      <c r="D23" s="10"/>
    </row>
    <row r="25" customFormat="false" ht="15" hidden="false" customHeight="true" outlineLevel="0" collapsed="false">
      <c r="B25" s="11" t="s">
        <v>18</v>
      </c>
      <c r="C25" s="11"/>
      <c r="D25" s="11"/>
    </row>
  </sheetData>
  <mergeCells count="13">
    <mergeCell ref="B2:D4"/>
    <mergeCell ref="B5:D5"/>
    <mergeCell ref="B7:D7"/>
    <mergeCell ref="C8:D8"/>
    <mergeCell ref="B10:D10"/>
    <mergeCell ref="C12:D12"/>
    <mergeCell ref="C14:D14"/>
    <mergeCell ref="C16:D16"/>
    <mergeCell ref="B18:D18"/>
    <mergeCell ref="B21:D21"/>
    <mergeCell ref="C22:D22"/>
    <mergeCell ref="C23:D23"/>
    <mergeCell ref="B25:D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2" width="3"/>
    <col collapsed="false" customWidth="true" hidden="false" outlineLevel="0" max="2" min="2" style="12" width="30"/>
    <col collapsed="false" customWidth="true" hidden="false" outlineLevel="0" max="3" min="3" style="12" width="20"/>
  </cols>
  <sheetData>
    <row r="2" customFormat="false" ht="21.75" hidden="false" customHeight="true" outlineLevel="0" collapsed="false">
      <c r="B2" s="13" t="s">
        <v>19</v>
      </c>
    </row>
    <row r="3" customFormat="false" ht="15" hidden="false" customHeight="true" outlineLevel="0" collapsed="false">
      <c r="B3" s="14" t="s">
        <v>20</v>
      </c>
    </row>
    <row r="5" customFormat="false" ht="21.75" hidden="false" customHeight="true" outlineLevel="0" collapsed="false">
      <c r="B5" s="15" t="s">
        <v>21</v>
      </c>
      <c r="C5" s="16" t="n">
        <f aca="false">COUNT('Trade Log'!$S$2:$S$201)</f>
        <v>0</v>
      </c>
    </row>
    <row r="6" customFormat="false" ht="21.75" hidden="false" customHeight="true" outlineLevel="0" collapsed="false">
      <c r="B6" s="15" t="s">
        <v>22</v>
      </c>
      <c r="C6" s="16" t="n">
        <f aca="false">COUNTIF('Trade Log'!$U$2:$U$201,"Win")</f>
        <v>0</v>
      </c>
    </row>
    <row r="7" customFormat="false" ht="21.75" hidden="false" customHeight="true" outlineLevel="0" collapsed="false">
      <c r="B7" s="15" t="s">
        <v>23</v>
      </c>
      <c r="C7" s="16" t="n">
        <f aca="false">COUNTIF('Trade Log'!$U$2:$U$201,"Loss")</f>
        <v>0</v>
      </c>
    </row>
    <row r="8" customFormat="false" ht="21.75" hidden="false" customHeight="true" outlineLevel="0" collapsed="false">
      <c r="B8" s="15" t="s">
        <v>24</v>
      </c>
      <c r="C8" s="16" t="n">
        <f aca="false">COUNTIF('Trade Log'!$U$2:$U$201,"BE")</f>
        <v>0</v>
      </c>
    </row>
    <row r="9" customFormat="false" ht="21.75" hidden="false" customHeight="true" outlineLevel="0" collapsed="false">
      <c r="B9" s="15" t="s">
        <v>25</v>
      </c>
      <c r="C9" s="17" t="n">
        <f aca="false">IFERROR(C6/(C6+C7),0)</f>
        <v>0</v>
      </c>
    </row>
    <row r="10" customFormat="false" ht="21.75" hidden="false" customHeight="true" outlineLevel="0" collapsed="false">
      <c r="B10" s="15" t="s">
        <v>26</v>
      </c>
      <c r="C10" s="18" t="n">
        <f aca="false">SUM('Trade Log'!$S$2:$S$201)</f>
        <v>0</v>
      </c>
    </row>
    <row r="11" customFormat="false" ht="21.75" hidden="false" customHeight="true" outlineLevel="0" collapsed="false">
      <c r="B11" s="15" t="s">
        <v>27</v>
      </c>
      <c r="C11" s="17" t="n">
        <f aca="false">IFERROR(C10/Settings!$B$3,0)</f>
        <v>0</v>
      </c>
    </row>
    <row r="12" customFormat="false" ht="21.75" hidden="false" customHeight="true" outlineLevel="0" collapsed="false">
      <c r="B12" s="15" t="s">
        <v>28</v>
      </c>
      <c r="C12" s="19" t="n">
        <f aca="false">IFERROR(SUMIF('Trade Log'!$S$2:$S$201,"&gt;0")/ABS(SUMIF('Trade Log'!$S$2:$S$201,"&lt;0")),0)</f>
        <v>0</v>
      </c>
    </row>
    <row r="13" customFormat="false" ht="21.75" hidden="false" customHeight="true" outlineLevel="0" collapsed="false">
      <c r="B13" s="15" t="s">
        <v>29</v>
      </c>
      <c r="C13" s="18" t="n">
        <f aca="false">IFERROR(C10/C5,0)</f>
        <v>0</v>
      </c>
    </row>
    <row r="14" customFormat="false" ht="21.75" hidden="false" customHeight="true" outlineLevel="0" collapsed="false">
      <c r="B14" s="15" t="s">
        <v>30</v>
      </c>
      <c r="C14" s="20" t="n">
        <f aca="false">IFERROR(AVERAGE('Trade Log'!$T$2:$T$201),0)</f>
        <v>0</v>
      </c>
    </row>
    <row r="15" customFormat="false" ht="21.75" hidden="false" customHeight="true" outlineLevel="0" collapsed="false">
      <c r="B15" s="15" t="s">
        <v>31</v>
      </c>
      <c r="C15" s="21" t="n">
        <f aca="false">IFERROR(AVERAGEIF('Trade Log'!$S$2:$S$201,"&gt;0"),0)</f>
        <v>0</v>
      </c>
    </row>
    <row r="16" customFormat="false" ht="21.75" hidden="false" customHeight="true" outlineLevel="0" collapsed="false">
      <c r="B16" s="15" t="s">
        <v>32</v>
      </c>
      <c r="C16" s="18" t="n">
        <f aca="false">IFERROR(AVERAGEIF('Trade Log'!$S$2:$S$201,"&lt;0"),0)</f>
        <v>0</v>
      </c>
    </row>
    <row r="17" customFormat="false" ht="21.75" hidden="false" customHeight="true" outlineLevel="0" collapsed="false">
      <c r="B17" s="15" t="s">
        <v>33</v>
      </c>
      <c r="C17" s="19" t="n">
        <f aca="false">IFERROR(ABS(C15/C16),0)</f>
        <v>0</v>
      </c>
    </row>
    <row r="18" customFormat="false" ht="21.75" hidden="false" customHeight="true" outlineLevel="0" collapsed="false">
      <c r="B18" s="15" t="s">
        <v>34</v>
      </c>
      <c r="C18" s="21" t="n">
        <f aca="false">IFERROR(MAX('Trade Log'!$S$2:$S$201),0)</f>
        <v>0</v>
      </c>
    </row>
    <row r="19" customFormat="false" ht="21.75" hidden="false" customHeight="true" outlineLevel="0" collapsed="false">
      <c r="B19" s="15" t="s">
        <v>35</v>
      </c>
      <c r="C19" s="18" t="n">
        <f aca="false">IFERROR(MIN('Trade Log'!$S$2:$S$201),0)</f>
        <v>0</v>
      </c>
    </row>
    <row r="20" customFormat="false" ht="21.75" hidden="false" customHeight="true" outlineLevel="0" collapsed="false">
      <c r="B20" s="15" t="s">
        <v>36</v>
      </c>
      <c r="C20" s="22" t="n">
        <f aca="false">IFERROR(MIN('Trade Log'!$Y$2:$Y$201),0)</f>
        <v>0</v>
      </c>
    </row>
    <row r="21" customFormat="false" ht="21.75" hidden="false" customHeight="true" outlineLevel="0" collapsed="false">
      <c r="B21" s="15" t="s">
        <v>37</v>
      </c>
      <c r="C21" s="22" t="n">
        <f aca="false">IFERROR(AVERAGE('Trade Log'!$V$2:$V$201),0)</f>
        <v>0</v>
      </c>
    </row>
    <row r="22" customFormat="false" ht="21.75" hidden="false" customHeight="true" outlineLevel="0" collapsed="false">
      <c r="B22" s="15" t="s">
        <v>38</v>
      </c>
      <c r="C22" s="23" t="n">
        <f aca="false">SUM('Trade Log'!$Q$2:$Q$201)</f>
        <v>0</v>
      </c>
    </row>
    <row r="23" customFormat="false" ht="21.75" hidden="false" customHeight="true" outlineLevel="0" collapsed="false">
      <c r="B23" s="15" t="s">
        <v>39</v>
      </c>
      <c r="C23" s="21" t="n">
        <f aca="false">IFERROR(Settings!$B$3+SUM('Trade Log'!$S$2:$S$201),Settings!$B$3)</f>
        <v>1000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2" width="34"/>
    <col collapsed="false" customWidth="true" hidden="false" outlineLevel="0" max="2" min="2" style="12" width="22"/>
    <col collapsed="false" customWidth="true" hidden="false" outlineLevel="0" max="3" min="3" style="12" width="26"/>
  </cols>
  <sheetData>
    <row r="1" customFormat="false" ht="17.25" hidden="false" customHeight="true" outlineLevel="0" collapsed="false">
      <c r="A1" s="24" t="s">
        <v>40</v>
      </c>
    </row>
    <row r="3" customFormat="false" ht="15" hidden="false" customHeight="true" outlineLevel="0" collapsed="false">
      <c r="A3" s="25" t="s">
        <v>41</v>
      </c>
      <c r="B3" s="26" t="n">
        <v>1000</v>
      </c>
    </row>
    <row r="4" customFormat="false" ht="15" hidden="false" customHeight="true" outlineLevel="0" collapsed="false">
      <c r="A4" s="25" t="s">
        <v>42</v>
      </c>
      <c r="B4" s="27" t="n">
        <v>0.01</v>
      </c>
    </row>
    <row r="7" customFormat="false" ht="15" hidden="false" customHeight="true" outlineLevel="0" collapsed="false">
      <c r="A7" s="28" t="s">
        <v>43</v>
      </c>
    </row>
    <row r="8" customFormat="false" ht="15" hidden="false" customHeight="true" outlineLevel="0" collapsed="false">
      <c r="A8" s="29" t="s">
        <v>44</v>
      </c>
      <c r="B8" s="29" t="s">
        <v>45</v>
      </c>
      <c r="C8" s="29" t="s">
        <v>46</v>
      </c>
    </row>
    <row r="9" customFormat="false" ht="15" hidden="false" customHeight="true" outlineLevel="0" collapsed="false">
      <c r="A9" s="30" t="s">
        <v>47</v>
      </c>
      <c r="B9" s="31" t="n">
        <v>0.0001</v>
      </c>
      <c r="C9" s="32" t="n">
        <v>10</v>
      </c>
    </row>
    <row r="10" customFormat="false" ht="15" hidden="false" customHeight="true" outlineLevel="0" collapsed="false">
      <c r="A10" s="30" t="s">
        <v>48</v>
      </c>
      <c r="B10" s="31" t="n">
        <v>0.0001</v>
      </c>
      <c r="C10" s="32" t="n">
        <v>10</v>
      </c>
    </row>
    <row r="11" customFormat="false" ht="15" hidden="false" customHeight="true" outlineLevel="0" collapsed="false">
      <c r="A11" s="30" t="s">
        <v>49</v>
      </c>
      <c r="B11" s="31" t="n">
        <v>0.01</v>
      </c>
      <c r="C11" s="32" t="n">
        <v>6.7</v>
      </c>
    </row>
    <row r="12" customFormat="false" ht="15" hidden="false" customHeight="true" outlineLevel="0" collapsed="false">
      <c r="A12" s="30" t="s">
        <v>50</v>
      </c>
      <c r="B12" s="31" t="n">
        <v>0.01</v>
      </c>
      <c r="C12" s="32" t="n">
        <v>6.7</v>
      </c>
    </row>
    <row r="13" customFormat="false" ht="15" hidden="false" customHeight="true" outlineLevel="0" collapsed="false">
      <c r="A13" s="30" t="s">
        <v>51</v>
      </c>
      <c r="B13" s="31" t="n">
        <v>0.0001</v>
      </c>
      <c r="C13" s="32" t="n">
        <v>10</v>
      </c>
    </row>
    <row r="14" customFormat="false" ht="15" hidden="false" customHeight="true" outlineLevel="0" collapsed="false">
      <c r="A14" s="30" t="s">
        <v>52</v>
      </c>
      <c r="B14" s="31" t="n">
        <v>0.0001</v>
      </c>
      <c r="C14" s="32" t="n">
        <v>7.5</v>
      </c>
    </row>
    <row r="15" customFormat="false" ht="15" hidden="false" customHeight="true" outlineLevel="0" collapsed="false">
      <c r="A15" s="30" t="s">
        <v>53</v>
      </c>
      <c r="B15" s="31" t="n">
        <v>0.01</v>
      </c>
      <c r="C15" s="32" t="n">
        <v>1</v>
      </c>
    </row>
    <row r="16" customFormat="false" ht="15" hidden="false" customHeight="true" outlineLevel="0" collapsed="false">
      <c r="A16" s="30" t="s">
        <v>54</v>
      </c>
      <c r="B16" s="31" t="n">
        <v>1</v>
      </c>
      <c r="C16" s="32" t="n">
        <v>1</v>
      </c>
    </row>
    <row r="17" customFormat="false" ht="15" hidden="false" customHeight="true" outlineLevel="0" collapsed="false">
      <c r="A17" s="30" t="s">
        <v>55</v>
      </c>
      <c r="B17" s="31" t="n">
        <v>1</v>
      </c>
      <c r="C17" s="32" t="n">
        <v>1</v>
      </c>
    </row>
    <row r="18" customFormat="false" ht="15" hidden="false" customHeight="true" outlineLevel="0" collapsed="false">
      <c r="A18" s="30" t="s">
        <v>56</v>
      </c>
      <c r="B18" s="31" t="n">
        <v>1</v>
      </c>
      <c r="C18" s="32" t="n">
        <v>1</v>
      </c>
    </row>
    <row r="19" customFormat="false" ht="15" hidden="false" customHeight="true" outlineLevel="0" collapsed="false">
      <c r="A19" s="30" t="s">
        <v>57</v>
      </c>
      <c r="B19" s="31" t="n">
        <v>1</v>
      </c>
      <c r="C19" s="32" t="n">
        <v>1</v>
      </c>
    </row>
    <row r="20" customFormat="false" ht="15" hidden="false" customHeight="true" outlineLevel="0" collapsed="false">
      <c r="A20" s="30" t="s">
        <v>58</v>
      </c>
      <c r="B20" s="31" t="n">
        <v>1</v>
      </c>
      <c r="C20" s="32" t="n">
        <v>1</v>
      </c>
    </row>
    <row r="21" customFormat="false" ht="15" hidden="false" customHeight="true" outlineLevel="0" collapsed="false">
      <c r="A21" s="30"/>
      <c r="B21" s="30"/>
      <c r="C21" s="30"/>
    </row>
    <row r="22" customFormat="false" ht="15" hidden="false" customHeight="true" outlineLevel="0" collapsed="false">
      <c r="A22" s="30"/>
      <c r="B22" s="30"/>
      <c r="C22" s="30"/>
    </row>
    <row r="23" customFormat="false" ht="15" hidden="false" customHeight="true" outlineLevel="0" collapsed="false">
      <c r="A23" s="30"/>
      <c r="B23" s="30"/>
      <c r="C23" s="30"/>
    </row>
    <row r="24" customFormat="false" ht="15" hidden="false" customHeight="true" outlineLevel="0" collapsed="false">
      <c r="A24" s="30"/>
      <c r="B24" s="30"/>
      <c r="C24" s="30"/>
    </row>
    <row r="25" customFormat="false" ht="15" hidden="false" customHeight="true" outlineLevel="0" collapsed="false">
      <c r="A25" s="30"/>
      <c r="B25" s="30"/>
      <c r="C25" s="30"/>
    </row>
    <row r="26" customFormat="false" ht="15" hidden="false" customHeight="true" outlineLevel="0" collapsed="false">
      <c r="A26" s="30"/>
      <c r="B26" s="30"/>
      <c r="C26" s="30"/>
    </row>
    <row r="27" customFormat="false" ht="15" hidden="false" customHeight="true" outlineLevel="0" collapsed="false">
      <c r="A27" s="30"/>
      <c r="B27" s="30"/>
      <c r="C27" s="30"/>
    </row>
    <row r="28" customFormat="false" ht="15" hidden="false" customHeight="true" outlineLevel="0" collapsed="false">
      <c r="A28" s="30"/>
      <c r="B28" s="30"/>
      <c r="C28" s="30"/>
    </row>
    <row r="30" customFormat="false" ht="15" hidden="false" customHeight="true" outlineLevel="0" collapsed="false">
      <c r="A30" s="33" t="s">
        <v>59</v>
      </c>
      <c r="B30" s="33"/>
      <c r="C30" s="33"/>
    </row>
    <row r="31" customFormat="false" ht="15" hidden="false" customHeight="true" outlineLevel="0" collapsed="false">
      <c r="A31" s="33"/>
      <c r="B31" s="33"/>
      <c r="C31" s="33"/>
    </row>
    <row r="32" customFormat="false" ht="15" hidden="false" customHeight="true" outlineLevel="0" collapsed="false">
      <c r="A32" s="33"/>
      <c r="B32" s="33"/>
      <c r="C32" s="33"/>
    </row>
  </sheetData>
  <mergeCells count="1">
    <mergeCell ref="A30:C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2" width="6"/>
    <col collapsed="false" customWidth="true" hidden="false" outlineLevel="0" max="3" min="2" style="12" width="13"/>
    <col collapsed="false" customWidth="true" hidden="false" outlineLevel="0" max="4" min="4" style="12" width="10"/>
    <col collapsed="false" customWidth="true" hidden="false" outlineLevel="0" max="6" min="5" style="12" width="16"/>
    <col collapsed="false" customWidth="true" hidden="false" outlineLevel="0" max="7" min="7" style="12" width="10"/>
    <col collapsed="false" customWidth="true" hidden="false" outlineLevel="0" max="11" min="8" style="12" width="12"/>
    <col collapsed="false" customWidth="true" hidden="false" outlineLevel="0" max="13" min="12" style="12" width="10"/>
    <col collapsed="false" customWidth="true" hidden="false" outlineLevel="0" max="15" min="14" style="12" width="11"/>
    <col collapsed="false" customWidth="true" hidden="false" outlineLevel="0" max="16" min="16" style="12" width="9"/>
    <col collapsed="false" customWidth="true" hidden="false" outlineLevel="0" max="17" min="17" style="12" width="11"/>
    <col collapsed="false" customWidth="true" hidden="false" outlineLevel="0" max="18" min="18" style="12" width="12"/>
    <col collapsed="false" customWidth="true" hidden="false" outlineLevel="0" max="19" min="19" style="12" width="14"/>
    <col collapsed="false" customWidth="true" hidden="false" outlineLevel="0" max="21" min="20" style="12" width="10"/>
    <col collapsed="false" customWidth="true" hidden="false" outlineLevel="0" max="22" min="22" style="12" width="9"/>
    <col collapsed="false" customWidth="true" hidden="false" outlineLevel="0" max="24" min="23" style="12" width="13"/>
    <col collapsed="false" customWidth="true" hidden="false" outlineLevel="0" max="25" min="25" style="12" width="11"/>
    <col collapsed="false" customWidth="true" hidden="false" outlineLevel="0" max="26" min="26" style="12" width="30"/>
  </cols>
  <sheetData>
    <row r="1" customFormat="false" ht="33.75" hidden="false" customHeight="true" outlineLevel="0" collapsed="false">
      <c r="A1" s="29" t="s">
        <v>60</v>
      </c>
      <c r="B1" s="29" t="s">
        <v>61</v>
      </c>
      <c r="C1" s="29" t="s">
        <v>44</v>
      </c>
      <c r="D1" s="29" t="s">
        <v>62</v>
      </c>
      <c r="E1" s="29" t="s">
        <v>63</v>
      </c>
      <c r="F1" s="29" t="s">
        <v>64</v>
      </c>
      <c r="G1" s="29" t="s">
        <v>65</v>
      </c>
      <c r="H1" s="29" t="s">
        <v>66</v>
      </c>
      <c r="I1" s="29" t="s">
        <v>67</v>
      </c>
      <c r="J1" s="29" t="s">
        <v>68</v>
      </c>
      <c r="K1" s="29" t="s">
        <v>69</v>
      </c>
      <c r="L1" s="29" t="s">
        <v>70</v>
      </c>
      <c r="M1" s="29" t="s">
        <v>71</v>
      </c>
      <c r="N1" s="29" t="s">
        <v>72</v>
      </c>
      <c r="O1" s="29" t="s">
        <v>73</v>
      </c>
      <c r="P1" s="29" t="s">
        <v>74</v>
      </c>
      <c r="Q1" s="29" t="s">
        <v>75</v>
      </c>
      <c r="R1" s="29" t="s">
        <v>76</v>
      </c>
      <c r="S1" s="29" t="s">
        <v>77</v>
      </c>
      <c r="T1" s="29" t="s">
        <v>78</v>
      </c>
      <c r="U1" s="29" t="s">
        <v>79</v>
      </c>
      <c r="V1" s="29" t="s">
        <v>80</v>
      </c>
      <c r="W1" s="29" t="s">
        <v>81</v>
      </c>
      <c r="X1" s="29" t="s">
        <v>82</v>
      </c>
      <c r="Y1" s="29" t="s">
        <v>83</v>
      </c>
      <c r="Z1" s="29" t="s">
        <v>84</v>
      </c>
    </row>
    <row r="2" customFormat="false" ht="15" hidden="false" customHeight="true" outlineLevel="0" collapsed="false">
      <c r="A2" s="34" t="str">
        <f aca="false">IF($H2="","",ROW()-1)</f>
        <v/>
      </c>
      <c r="B2" s="35"/>
      <c r="C2" s="35"/>
      <c r="D2" s="34"/>
      <c r="E2" s="34"/>
      <c r="F2" s="35"/>
      <c r="G2" s="36"/>
      <c r="H2" s="37"/>
      <c r="I2" s="37"/>
      <c r="J2" s="37"/>
      <c r="K2" s="37"/>
      <c r="L2" s="38" t="str">
        <f aca="false">IFERROR(VLOOKUP($C2,Settings!$A$9:$C$28,2,FALSE()),"")</f>
        <v/>
      </c>
      <c r="M2" s="39" t="str">
        <f aca="false">IFERROR(VLOOKUP($C2,Settings!$A$9:$C$28,3,FALSE()),"")</f>
        <v/>
      </c>
      <c r="N2" s="40" t="str">
        <f aca="false">IF(OR($H2="",$I2=""),"",IFERROR(ABS(H2-I2)/L2,""))</f>
        <v/>
      </c>
      <c r="O2" s="40" t="str">
        <f aca="false">IF(OR($H2="",$J2=""),"",IFERROR(ABS(J2-H2)/L2,""))</f>
        <v/>
      </c>
      <c r="P2" s="41" t="str">
        <f aca="false">IF(OR(N2="",O2="",N2=0),"",O2/N2)</f>
        <v/>
      </c>
      <c r="Q2" s="40" t="str">
        <f aca="false">IF(OR($H2="",$K2=""),"",IFERROR(((K2-H2)/L2)*IF($D2="Buy",1,-1),""))</f>
        <v/>
      </c>
      <c r="R2" s="42" t="str">
        <f aca="false">IF(OR(N2="",$G2=""),"",IFERROR(N2*M2*G2,""))</f>
        <v/>
      </c>
      <c r="S2" s="42" t="str">
        <f aca="false">IF(OR(Q2="",$G2=""),"",IFERROR(Q2*M2*G2,""))</f>
        <v/>
      </c>
      <c r="T2" s="41" t="str">
        <f aca="false">IF(OR(S2="",R2="",R2=0),"",S2/R2)</f>
        <v/>
      </c>
      <c r="U2" s="43" t="str">
        <f aca="false">IF(S2="","",IF(S2&gt;0,"Win",IF(S2&lt;0,"Loss","BE")))</f>
        <v/>
      </c>
      <c r="V2" s="44" t="str">
        <f aca="false">IF(OR($H2="",R2=""),"",IFERROR(R2/(W2-S2),""))</f>
        <v/>
      </c>
      <c r="W2" s="45" t="str">
        <f aca="false">IF($H2="","",Settings!$B$3+SUM($S$2:S2))</f>
        <v/>
      </c>
      <c r="X2" s="45" t="str">
        <f aca="false">IF($H2="","",MAX(Settings!$B$3,MAX($W$2:W2)))</f>
        <v/>
      </c>
      <c r="Y2" s="44" t="str">
        <f aca="false">IF(OR($H2="",X2=""),"",IFERROR((W2-X2)/X2,""))</f>
        <v/>
      </c>
      <c r="Z2" s="35"/>
    </row>
    <row r="3" customFormat="false" ht="15" hidden="false" customHeight="true" outlineLevel="0" collapsed="false">
      <c r="A3" s="34" t="str">
        <f aca="false">IF($H3="","",ROW()-1)</f>
        <v/>
      </c>
      <c r="B3" s="35"/>
      <c r="C3" s="35"/>
      <c r="D3" s="34"/>
      <c r="E3" s="34"/>
      <c r="F3" s="35"/>
      <c r="G3" s="36"/>
      <c r="H3" s="37"/>
      <c r="I3" s="37"/>
      <c r="J3" s="37"/>
      <c r="K3" s="37"/>
      <c r="L3" s="38" t="str">
        <f aca="false">IFERROR(VLOOKUP($C3,Settings!$A$9:$C$28,2,FALSE()),"")</f>
        <v/>
      </c>
      <c r="M3" s="39" t="str">
        <f aca="false">IFERROR(VLOOKUP($C3,Settings!$A$9:$C$28,3,FALSE()),"")</f>
        <v/>
      </c>
      <c r="N3" s="40" t="str">
        <f aca="false">IF(OR($H3="",$I3=""),"",IFERROR(ABS(H3-I3)/L3,""))</f>
        <v/>
      </c>
      <c r="O3" s="40" t="str">
        <f aca="false">IF(OR($H3="",$J3=""),"",IFERROR(ABS(J3-H3)/L3,""))</f>
        <v/>
      </c>
      <c r="P3" s="41" t="str">
        <f aca="false">IF(OR(N3="",O3="",N3=0),"",O3/N3)</f>
        <v/>
      </c>
      <c r="Q3" s="40" t="str">
        <f aca="false">IF(OR($H3="",$K3=""),"",IFERROR(((K3-H3)/L3)*IF($D3="Buy",1,-1),""))</f>
        <v/>
      </c>
      <c r="R3" s="42" t="str">
        <f aca="false">IF(OR(N3="",$G3=""),"",IFERROR(N3*M3*G3,""))</f>
        <v/>
      </c>
      <c r="S3" s="42" t="str">
        <f aca="false">IF(OR(Q3="",$G3=""),"",IFERROR(Q3*M3*G3,""))</f>
        <v/>
      </c>
      <c r="T3" s="41" t="str">
        <f aca="false">IF(OR(S3="",R3="",R3=0),"",S3/R3)</f>
        <v/>
      </c>
      <c r="U3" s="43" t="str">
        <f aca="false">IF(S3="","",IF(S3&gt;0,"Win",IF(S3&lt;0,"Loss","BE")))</f>
        <v/>
      </c>
      <c r="V3" s="44" t="str">
        <f aca="false">IF(OR($H3="",R3=""),"",IFERROR(R3/(W3-S3),""))</f>
        <v/>
      </c>
      <c r="W3" s="45" t="str">
        <f aca="false">IF($H3="","",Settings!$B$3+SUM($S$2:S3))</f>
        <v/>
      </c>
      <c r="X3" s="45" t="str">
        <f aca="false">IF($H3="","",MAX(Settings!$B$3,MAX($W$2:W3)))</f>
        <v/>
      </c>
      <c r="Y3" s="44" t="str">
        <f aca="false">IF(OR($H3="",X3=""),"",IFERROR((W3-X3)/X3,""))</f>
        <v/>
      </c>
      <c r="Z3" s="35"/>
    </row>
    <row r="4" customFormat="false" ht="15" hidden="false" customHeight="true" outlineLevel="0" collapsed="false">
      <c r="A4" s="34" t="str">
        <f aca="false">IF($H4="","",ROW()-1)</f>
        <v/>
      </c>
      <c r="B4" s="35"/>
      <c r="C4" s="35"/>
      <c r="D4" s="34"/>
      <c r="E4" s="34"/>
      <c r="F4" s="35"/>
      <c r="G4" s="36"/>
      <c r="H4" s="37"/>
      <c r="I4" s="37"/>
      <c r="J4" s="37"/>
      <c r="K4" s="37"/>
      <c r="L4" s="38" t="str">
        <f aca="false">IFERROR(VLOOKUP($C4,Settings!$A$9:$C$28,2,FALSE()),"")</f>
        <v/>
      </c>
      <c r="M4" s="39" t="str">
        <f aca="false">IFERROR(VLOOKUP($C4,Settings!$A$9:$C$28,3,FALSE()),"")</f>
        <v/>
      </c>
      <c r="N4" s="40" t="str">
        <f aca="false">IF(OR($H4="",$I4=""),"",IFERROR(ABS(H4-I4)/L4,""))</f>
        <v/>
      </c>
      <c r="O4" s="40" t="str">
        <f aca="false">IF(OR($H4="",$J4=""),"",IFERROR(ABS(J4-H4)/L4,""))</f>
        <v/>
      </c>
      <c r="P4" s="41" t="str">
        <f aca="false">IF(OR(N4="",O4="",N4=0),"",O4/N4)</f>
        <v/>
      </c>
      <c r="Q4" s="40" t="str">
        <f aca="false">IF(OR($H4="",$K4=""),"",IFERROR(((K4-H4)/L4)*IF($D4="Buy",1,-1),""))</f>
        <v/>
      </c>
      <c r="R4" s="42" t="str">
        <f aca="false">IF(OR(N4="",$G4=""),"",IFERROR(N4*M4*G4,""))</f>
        <v/>
      </c>
      <c r="S4" s="42" t="str">
        <f aca="false">IF(OR(Q4="",$G4=""),"",IFERROR(Q4*M4*G4,""))</f>
        <v/>
      </c>
      <c r="T4" s="41" t="str">
        <f aca="false">IF(OR(S4="",R4="",R4=0),"",S4/R4)</f>
        <v/>
      </c>
      <c r="U4" s="43" t="str">
        <f aca="false">IF(S4="","",IF(S4&gt;0,"Win",IF(S4&lt;0,"Loss","BE")))</f>
        <v/>
      </c>
      <c r="V4" s="44" t="str">
        <f aca="false">IF(OR($H4="",R4=""),"",IFERROR(R4/(W4-S4),""))</f>
        <v/>
      </c>
      <c r="W4" s="45" t="str">
        <f aca="false">IF($H4="","",Settings!$B$3+SUM($S$2:S4))</f>
        <v/>
      </c>
      <c r="X4" s="45" t="str">
        <f aca="false">IF($H4="","",MAX(Settings!$B$3,MAX($W$2:W4)))</f>
        <v/>
      </c>
      <c r="Y4" s="44" t="str">
        <f aca="false">IF(OR($H4="",X4=""),"",IFERROR((W4-X4)/X4,""))</f>
        <v/>
      </c>
      <c r="Z4" s="35"/>
    </row>
    <row r="5" customFormat="false" ht="15" hidden="false" customHeight="true" outlineLevel="0" collapsed="false">
      <c r="A5" s="34" t="str">
        <f aca="false">IF($H5="","",ROW()-1)</f>
        <v/>
      </c>
      <c r="B5" s="35"/>
      <c r="C5" s="35"/>
      <c r="D5" s="34"/>
      <c r="E5" s="34"/>
      <c r="F5" s="35"/>
      <c r="G5" s="36"/>
      <c r="H5" s="37"/>
      <c r="I5" s="37"/>
      <c r="J5" s="37"/>
      <c r="K5" s="37"/>
      <c r="L5" s="38" t="str">
        <f aca="false">IFERROR(VLOOKUP($C5,Settings!$A$9:$C$28,2,FALSE()),"")</f>
        <v/>
      </c>
      <c r="M5" s="39" t="str">
        <f aca="false">IFERROR(VLOOKUP($C5,Settings!$A$9:$C$28,3,FALSE()),"")</f>
        <v/>
      </c>
      <c r="N5" s="40" t="str">
        <f aca="false">IF(OR($H5="",$I5=""),"",IFERROR(ABS(H5-I5)/L5,""))</f>
        <v/>
      </c>
      <c r="O5" s="40" t="str">
        <f aca="false">IF(OR($H5="",$J5=""),"",IFERROR(ABS(J5-H5)/L5,""))</f>
        <v/>
      </c>
      <c r="P5" s="41" t="str">
        <f aca="false">IF(OR(N5="",O5="",N5=0),"",O5/N5)</f>
        <v/>
      </c>
      <c r="Q5" s="40" t="str">
        <f aca="false">IF(OR($H5="",$K5=""),"",IFERROR(((K5-H5)/L5)*IF($D5="Buy",1,-1),""))</f>
        <v/>
      </c>
      <c r="R5" s="42" t="str">
        <f aca="false">IF(OR(N5="",$G5=""),"",IFERROR(N5*M5*G5,""))</f>
        <v/>
      </c>
      <c r="S5" s="42" t="str">
        <f aca="false">IF(OR(Q5="",$G5=""),"",IFERROR(Q5*M5*G5,""))</f>
        <v/>
      </c>
      <c r="T5" s="41" t="str">
        <f aca="false">IF(OR(S5="",R5="",R5=0),"",S5/R5)</f>
        <v/>
      </c>
      <c r="U5" s="43" t="str">
        <f aca="false">IF(S5="","",IF(S5&gt;0,"Win",IF(S5&lt;0,"Loss","BE")))</f>
        <v/>
      </c>
      <c r="V5" s="44" t="str">
        <f aca="false">IF(OR($H5="",R5=""),"",IFERROR(R5/(W5-S5),""))</f>
        <v/>
      </c>
      <c r="W5" s="45" t="str">
        <f aca="false">IF($H5="","",Settings!$B$3+SUM($S$2:S5))</f>
        <v/>
      </c>
      <c r="X5" s="45" t="str">
        <f aca="false">IF($H5="","",MAX(Settings!$B$3,MAX($W$2:W5)))</f>
        <v/>
      </c>
      <c r="Y5" s="44" t="str">
        <f aca="false">IF(OR($H5="",X5=""),"",IFERROR((W5-X5)/X5,""))</f>
        <v/>
      </c>
      <c r="Z5" s="35"/>
    </row>
    <row r="6" customFormat="false" ht="15" hidden="false" customHeight="true" outlineLevel="0" collapsed="false">
      <c r="A6" s="34" t="str">
        <f aca="false">IF($H6="","",ROW()-1)</f>
        <v/>
      </c>
      <c r="B6" s="35"/>
      <c r="C6" s="35"/>
      <c r="D6" s="34"/>
      <c r="E6" s="34"/>
      <c r="F6" s="35"/>
      <c r="G6" s="36"/>
      <c r="H6" s="37"/>
      <c r="I6" s="37"/>
      <c r="J6" s="37"/>
      <c r="K6" s="37"/>
      <c r="L6" s="38" t="str">
        <f aca="false">IFERROR(VLOOKUP($C6,Settings!$A$9:$C$28,2,FALSE()),"")</f>
        <v/>
      </c>
      <c r="M6" s="39" t="str">
        <f aca="false">IFERROR(VLOOKUP($C6,Settings!$A$9:$C$28,3,FALSE()),"")</f>
        <v/>
      </c>
      <c r="N6" s="40" t="str">
        <f aca="false">IF(OR($H6="",$I6=""),"",IFERROR(ABS(H6-I6)/L6,""))</f>
        <v/>
      </c>
      <c r="O6" s="40" t="str">
        <f aca="false">IF(OR($H6="",$J6=""),"",IFERROR(ABS(J6-H6)/L6,""))</f>
        <v/>
      </c>
      <c r="P6" s="41" t="str">
        <f aca="false">IF(OR(N6="",O6="",N6=0),"",O6/N6)</f>
        <v/>
      </c>
      <c r="Q6" s="40" t="str">
        <f aca="false">IF(OR($H6="",$K6=""),"",IFERROR(((K6-H6)/L6)*IF($D6="Buy",1,-1),""))</f>
        <v/>
      </c>
      <c r="R6" s="42" t="str">
        <f aca="false">IF(OR(N6="",$G6=""),"",IFERROR(N6*M6*G6,""))</f>
        <v/>
      </c>
      <c r="S6" s="42" t="str">
        <f aca="false">IF(OR(Q6="",$G6=""),"",IFERROR(Q6*M6*G6,""))</f>
        <v/>
      </c>
      <c r="T6" s="41" t="str">
        <f aca="false">IF(OR(S6="",R6="",R6=0),"",S6/R6)</f>
        <v/>
      </c>
      <c r="U6" s="43" t="str">
        <f aca="false">IF(S6="","",IF(S6&gt;0,"Win",IF(S6&lt;0,"Loss","BE")))</f>
        <v/>
      </c>
      <c r="V6" s="44" t="str">
        <f aca="false">IF(OR($H6="",R6=""),"",IFERROR(R6/(W6-S6),""))</f>
        <v/>
      </c>
      <c r="W6" s="45" t="str">
        <f aca="false">IF($H6="","",Settings!$B$3+SUM($S$2:S6))</f>
        <v/>
      </c>
      <c r="X6" s="45" t="str">
        <f aca="false">IF($H6="","",MAX(Settings!$B$3,MAX($W$2:W6)))</f>
        <v/>
      </c>
      <c r="Y6" s="44" t="str">
        <f aca="false">IF(OR($H6="",X6=""),"",IFERROR((W6-X6)/X6,""))</f>
        <v/>
      </c>
      <c r="Z6" s="35"/>
    </row>
    <row r="7" customFormat="false" ht="15" hidden="false" customHeight="true" outlineLevel="0" collapsed="false">
      <c r="A7" s="34" t="str">
        <f aca="false">IF($H7="","",ROW()-1)</f>
        <v/>
      </c>
      <c r="B7" s="35"/>
      <c r="C7" s="35"/>
      <c r="D7" s="34"/>
      <c r="E7" s="34"/>
      <c r="F7" s="35"/>
      <c r="G7" s="36"/>
      <c r="H7" s="37"/>
      <c r="I7" s="37"/>
      <c r="J7" s="37"/>
      <c r="K7" s="37"/>
      <c r="L7" s="38" t="str">
        <f aca="false">IFERROR(VLOOKUP($C7,Settings!$A$9:$C$28,2,FALSE()),"")</f>
        <v/>
      </c>
      <c r="M7" s="39" t="str">
        <f aca="false">IFERROR(VLOOKUP($C7,Settings!$A$9:$C$28,3,FALSE()),"")</f>
        <v/>
      </c>
      <c r="N7" s="40" t="str">
        <f aca="false">IF(OR($H7="",$I7=""),"",IFERROR(ABS(H7-I7)/L7,""))</f>
        <v/>
      </c>
      <c r="O7" s="40" t="str">
        <f aca="false">IF(OR($H7="",$J7=""),"",IFERROR(ABS(J7-H7)/L7,""))</f>
        <v/>
      </c>
      <c r="P7" s="41" t="str">
        <f aca="false">IF(OR(N7="",O7="",N7=0),"",O7/N7)</f>
        <v/>
      </c>
      <c r="Q7" s="40" t="str">
        <f aca="false">IF(OR($H7="",$K7=""),"",IFERROR(((K7-H7)/L7)*IF($D7="Buy",1,-1),""))</f>
        <v/>
      </c>
      <c r="R7" s="42" t="str">
        <f aca="false">IF(OR(N7="",$G7=""),"",IFERROR(N7*M7*G7,""))</f>
        <v/>
      </c>
      <c r="S7" s="42" t="str">
        <f aca="false">IF(OR(Q7="",$G7=""),"",IFERROR(Q7*M7*G7,""))</f>
        <v/>
      </c>
      <c r="T7" s="41" t="str">
        <f aca="false">IF(OR(S7="",R7="",R7=0),"",S7/R7)</f>
        <v/>
      </c>
      <c r="U7" s="43" t="str">
        <f aca="false">IF(S7="","",IF(S7&gt;0,"Win",IF(S7&lt;0,"Loss","BE")))</f>
        <v/>
      </c>
      <c r="V7" s="44" t="str">
        <f aca="false">IF(OR($H7="",R7=""),"",IFERROR(R7/(W7-S7),""))</f>
        <v/>
      </c>
      <c r="W7" s="45" t="str">
        <f aca="false">IF($H7="","",Settings!$B$3+SUM($S$2:S7))</f>
        <v/>
      </c>
      <c r="X7" s="45" t="str">
        <f aca="false">IF($H7="","",MAX(Settings!$B$3,MAX($W$2:W7)))</f>
        <v/>
      </c>
      <c r="Y7" s="44" t="str">
        <f aca="false">IF(OR($H7="",X7=""),"",IFERROR((W7-X7)/X7,""))</f>
        <v/>
      </c>
      <c r="Z7" s="35"/>
    </row>
    <row r="8" customFormat="false" ht="15" hidden="false" customHeight="true" outlineLevel="0" collapsed="false">
      <c r="A8" s="34" t="str">
        <f aca="false">IF($H8="","",ROW()-1)</f>
        <v/>
      </c>
      <c r="B8" s="35"/>
      <c r="C8" s="35"/>
      <c r="D8" s="34"/>
      <c r="E8" s="34"/>
      <c r="F8" s="35"/>
      <c r="G8" s="36"/>
      <c r="H8" s="37"/>
      <c r="I8" s="37"/>
      <c r="J8" s="37"/>
      <c r="K8" s="37"/>
      <c r="L8" s="38" t="str">
        <f aca="false">IFERROR(VLOOKUP($C8,Settings!$A$9:$C$28,2,FALSE()),"")</f>
        <v/>
      </c>
      <c r="M8" s="39" t="str">
        <f aca="false">IFERROR(VLOOKUP($C8,Settings!$A$9:$C$28,3,FALSE()),"")</f>
        <v/>
      </c>
      <c r="N8" s="40" t="str">
        <f aca="false">IF(OR($H8="",$I8=""),"",IFERROR(ABS(H8-I8)/L8,""))</f>
        <v/>
      </c>
      <c r="O8" s="40" t="str">
        <f aca="false">IF(OR($H8="",$J8=""),"",IFERROR(ABS(J8-H8)/L8,""))</f>
        <v/>
      </c>
      <c r="P8" s="41" t="str">
        <f aca="false">IF(OR(N8="",O8="",N8=0),"",O8/N8)</f>
        <v/>
      </c>
      <c r="Q8" s="40" t="str">
        <f aca="false">IF(OR($H8="",$K8=""),"",IFERROR(((K8-H8)/L8)*IF($D8="Buy",1,-1),""))</f>
        <v/>
      </c>
      <c r="R8" s="42" t="str">
        <f aca="false">IF(OR(N8="",$G8=""),"",IFERROR(N8*M8*G8,""))</f>
        <v/>
      </c>
      <c r="S8" s="42" t="str">
        <f aca="false">IF(OR(Q8="",$G8=""),"",IFERROR(Q8*M8*G8,""))</f>
        <v/>
      </c>
      <c r="T8" s="41" t="str">
        <f aca="false">IF(OR(S8="",R8="",R8=0),"",S8/R8)</f>
        <v/>
      </c>
      <c r="U8" s="43" t="str">
        <f aca="false">IF(S8="","",IF(S8&gt;0,"Win",IF(S8&lt;0,"Loss","BE")))</f>
        <v/>
      </c>
      <c r="V8" s="44" t="str">
        <f aca="false">IF(OR($H8="",R8=""),"",IFERROR(R8/(W8-S8),""))</f>
        <v/>
      </c>
      <c r="W8" s="45" t="str">
        <f aca="false">IF($H8="","",Settings!$B$3+SUM($S$2:S8))</f>
        <v/>
      </c>
      <c r="X8" s="45" t="str">
        <f aca="false">IF($H8="","",MAX(Settings!$B$3,MAX($W$2:W8)))</f>
        <v/>
      </c>
      <c r="Y8" s="44" t="str">
        <f aca="false">IF(OR($H8="",X8=""),"",IFERROR((W8-X8)/X8,""))</f>
        <v/>
      </c>
      <c r="Z8" s="35"/>
    </row>
    <row r="9" customFormat="false" ht="15" hidden="false" customHeight="true" outlineLevel="0" collapsed="false">
      <c r="A9" s="34" t="str">
        <f aca="false">IF($H9="","",ROW()-1)</f>
        <v/>
      </c>
      <c r="B9" s="35"/>
      <c r="C9" s="35"/>
      <c r="D9" s="34"/>
      <c r="E9" s="34"/>
      <c r="F9" s="35"/>
      <c r="G9" s="36"/>
      <c r="H9" s="37"/>
      <c r="I9" s="37"/>
      <c r="J9" s="37"/>
      <c r="K9" s="37"/>
      <c r="L9" s="38" t="str">
        <f aca="false">IFERROR(VLOOKUP($C9,Settings!$A$9:$C$28,2,FALSE()),"")</f>
        <v/>
      </c>
      <c r="M9" s="39" t="str">
        <f aca="false">IFERROR(VLOOKUP($C9,Settings!$A$9:$C$28,3,FALSE()),"")</f>
        <v/>
      </c>
      <c r="N9" s="40" t="str">
        <f aca="false">IF(OR($H9="",$I9=""),"",IFERROR(ABS(H9-I9)/L9,""))</f>
        <v/>
      </c>
      <c r="O9" s="40" t="str">
        <f aca="false">IF(OR($H9="",$J9=""),"",IFERROR(ABS(J9-H9)/L9,""))</f>
        <v/>
      </c>
      <c r="P9" s="41" t="str">
        <f aca="false">IF(OR(N9="",O9="",N9=0),"",O9/N9)</f>
        <v/>
      </c>
      <c r="Q9" s="40" t="str">
        <f aca="false">IF(OR($H9="",$K9=""),"",IFERROR(((K9-H9)/L9)*IF($D9="Buy",1,-1),""))</f>
        <v/>
      </c>
      <c r="R9" s="42" t="str">
        <f aca="false">IF(OR(N9="",$G9=""),"",IFERROR(N9*M9*G9,""))</f>
        <v/>
      </c>
      <c r="S9" s="42" t="str">
        <f aca="false">IF(OR(Q9="",$G9=""),"",IFERROR(Q9*M9*G9,""))</f>
        <v/>
      </c>
      <c r="T9" s="41" t="str">
        <f aca="false">IF(OR(S9="",R9="",R9=0),"",S9/R9)</f>
        <v/>
      </c>
      <c r="U9" s="43" t="str">
        <f aca="false">IF(S9="","",IF(S9&gt;0,"Win",IF(S9&lt;0,"Loss","BE")))</f>
        <v/>
      </c>
      <c r="V9" s="44" t="str">
        <f aca="false">IF(OR($H9="",R9=""),"",IFERROR(R9/(W9-S9),""))</f>
        <v/>
      </c>
      <c r="W9" s="45" t="str">
        <f aca="false">IF($H9="","",Settings!$B$3+SUM($S$2:S9))</f>
        <v/>
      </c>
      <c r="X9" s="45" t="str">
        <f aca="false">IF($H9="","",MAX(Settings!$B$3,MAX($W$2:W9)))</f>
        <v/>
      </c>
      <c r="Y9" s="44" t="str">
        <f aca="false">IF(OR($H9="",X9=""),"",IFERROR((W9-X9)/X9,""))</f>
        <v/>
      </c>
      <c r="Z9" s="35"/>
    </row>
    <row r="10" customFormat="false" ht="15" hidden="false" customHeight="true" outlineLevel="0" collapsed="false">
      <c r="A10" s="34" t="str">
        <f aca="false">IF($H10="","",ROW()-1)</f>
        <v/>
      </c>
      <c r="B10" s="35"/>
      <c r="C10" s="35"/>
      <c r="D10" s="34"/>
      <c r="E10" s="34"/>
      <c r="F10" s="35"/>
      <c r="G10" s="36"/>
      <c r="H10" s="37"/>
      <c r="I10" s="37"/>
      <c r="J10" s="37"/>
      <c r="K10" s="37"/>
      <c r="L10" s="38" t="str">
        <f aca="false">IFERROR(VLOOKUP($C10,Settings!$A$9:$C$28,2,FALSE()),"")</f>
        <v/>
      </c>
      <c r="M10" s="39" t="str">
        <f aca="false">IFERROR(VLOOKUP($C10,Settings!$A$9:$C$28,3,FALSE()),"")</f>
        <v/>
      </c>
      <c r="N10" s="40" t="str">
        <f aca="false">IF(OR($H10="",$I10=""),"",IFERROR(ABS(H10-I10)/L10,""))</f>
        <v/>
      </c>
      <c r="O10" s="40" t="str">
        <f aca="false">IF(OR($H10="",$J10=""),"",IFERROR(ABS(J10-H10)/L10,""))</f>
        <v/>
      </c>
      <c r="P10" s="41" t="str">
        <f aca="false">IF(OR(N10="",O10="",N10=0),"",O10/N10)</f>
        <v/>
      </c>
      <c r="Q10" s="40" t="str">
        <f aca="false">IF(OR($H10="",$K10=""),"",IFERROR(((K10-H10)/L10)*IF($D10="Buy",1,-1),""))</f>
        <v/>
      </c>
      <c r="R10" s="42" t="str">
        <f aca="false">IF(OR(N10="",$G10=""),"",IFERROR(N10*M10*G10,""))</f>
        <v/>
      </c>
      <c r="S10" s="42" t="str">
        <f aca="false">IF(OR(Q10="",$G10=""),"",IFERROR(Q10*M10*G10,""))</f>
        <v/>
      </c>
      <c r="T10" s="41" t="str">
        <f aca="false">IF(OR(S10="",R10="",R10=0),"",S10/R10)</f>
        <v/>
      </c>
      <c r="U10" s="43" t="str">
        <f aca="false">IF(S10="","",IF(S10&gt;0,"Win",IF(S10&lt;0,"Loss","BE")))</f>
        <v/>
      </c>
      <c r="V10" s="44" t="str">
        <f aca="false">IF(OR($H10="",R10=""),"",IFERROR(R10/(W10-S10),""))</f>
        <v/>
      </c>
      <c r="W10" s="45" t="str">
        <f aca="false">IF($H10="","",Settings!$B$3+SUM($S$2:S10))</f>
        <v/>
      </c>
      <c r="X10" s="45" t="str">
        <f aca="false">IF($H10="","",MAX(Settings!$B$3,MAX($W$2:W10)))</f>
        <v/>
      </c>
      <c r="Y10" s="44" t="str">
        <f aca="false">IF(OR($H10="",X10=""),"",IFERROR((W10-X10)/X10,""))</f>
        <v/>
      </c>
      <c r="Z10" s="35"/>
    </row>
    <row r="11" customFormat="false" ht="15" hidden="false" customHeight="true" outlineLevel="0" collapsed="false">
      <c r="A11" s="34" t="str">
        <f aca="false">IF($H11="","",ROW()-1)</f>
        <v/>
      </c>
      <c r="B11" s="35"/>
      <c r="C11" s="35"/>
      <c r="D11" s="34"/>
      <c r="E11" s="34"/>
      <c r="F11" s="35"/>
      <c r="G11" s="36"/>
      <c r="H11" s="37"/>
      <c r="I11" s="37"/>
      <c r="J11" s="37"/>
      <c r="K11" s="37"/>
      <c r="L11" s="38" t="str">
        <f aca="false">IFERROR(VLOOKUP($C11,Settings!$A$9:$C$28,2,FALSE()),"")</f>
        <v/>
      </c>
      <c r="M11" s="39" t="str">
        <f aca="false">IFERROR(VLOOKUP($C11,Settings!$A$9:$C$28,3,FALSE()),"")</f>
        <v/>
      </c>
      <c r="N11" s="40" t="str">
        <f aca="false">IF(OR($H11="",$I11=""),"",IFERROR(ABS(H11-I11)/L11,""))</f>
        <v/>
      </c>
      <c r="O11" s="40" t="str">
        <f aca="false">IF(OR($H11="",$J11=""),"",IFERROR(ABS(J11-H11)/L11,""))</f>
        <v/>
      </c>
      <c r="P11" s="41" t="str">
        <f aca="false">IF(OR(N11="",O11="",N11=0),"",O11/N11)</f>
        <v/>
      </c>
      <c r="Q11" s="40" t="str">
        <f aca="false">IF(OR($H11="",$K11=""),"",IFERROR(((K11-H11)/L11)*IF($D11="Buy",1,-1),""))</f>
        <v/>
      </c>
      <c r="R11" s="42" t="str">
        <f aca="false">IF(OR(N11="",$G11=""),"",IFERROR(N11*M11*G11,""))</f>
        <v/>
      </c>
      <c r="S11" s="42" t="str">
        <f aca="false">IF(OR(Q11="",$G11=""),"",IFERROR(Q11*M11*G11,""))</f>
        <v/>
      </c>
      <c r="T11" s="41" t="str">
        <f aca="false">IF(OR(S11="",R11="",R11=0),"",S11/R11)</f>
        <v/>
      </c>
      <c r="U11" s="43" t="str">
        <f aca="false">IF(S11="","",IF(S11&gt;0,"Win",IF(S11&lt;0,"Loss","BE")))</f>
        <v/>
      </c>
      <c r="V11" s="44" t="str">
        <f aca="false">IF(OR($H11="",R11=""),"",IFERROR(R11/(W11-S11),""))</f>
        <v/>
      </c>
      <c r="W11" s="45" t="str">
        <f aca="false">IF($H11="","",Settings!$B$3+SUM($S$2:S11))</f>
        <v/>
      </c>
      <c r="X11" s="45" t="str">
        <f aca="false">IF($H11="","",MAX(Settings!$B$3,MAX($W$2:W11)))</f>
        <v/>
      </c>
      <c r="Y11" s="44" t="str">
        <f aca="false">IF(OR($H11="",X11=""),"",IFERROR((W11-X11)/X11,""))</f>
        <v/>
      </c>
      <c r="Z11" s="35"/>
    </row>
    <row r="12" customFormat="false" ht="15" hidden="false" customHeight="true" outlineLevel="0" collapsed="false">
      <c r="A12" s="34" t="str">
        <f aca="false">IF($H12="","",ROW()-1)</f>
        <v/>
      </c>
      <c r="B12" s="35"/>
      <c r="C12" s="35"/>
      <c r="D12" s="34"/>
      <c r="E12" s="34"/>
      <c r="F12" s="35"/>
      <c r="G12" s="36"/>
      <c r="H12" s="37"/>
      <c r="I12" s="37"/>
      <c r="J12" s="37"/>
      <c r="K12" s="37"/>
      <c r="L12" s="38" t="str">
        <f aca="false">IFERROR(VLOOKUP($C12,Settings!$A$9:$C$28,2,FALSE()),"")</f>
        <v/>
      </c>
      <c r="M12" s="39" t="str">
        <f aca="false">IFERROR(VLOOKUP($C12,Settings!$A$9:$C$28,3,FALSE()),"")</f>
        <v/>
      </c>
      <c r="N12" s="40" t="str">
        <f aca="false">IF(OR($H12="",$I12=""),"",IFERROR(ABS(H12-I12)/L12,""))</f>
        <v/>
      </c>
      <c r="O12" s="40" t="str">
        <f aca="false">IF(OR($H12="",$J12=""),"",IFERROR(ABS(J12-H12)/L12,""))</f>
        <v/>
      </c>
      <c r="P12" s="41" t="str">
        <f aca="false">IF(OR(N12="",O12="",N12=0),"",O12/N12)</f>
        <v/>
      </c>
      <c r="Q12" s="40" t="str">
        <f aca="false">IF(OR($H12="",$K12=""),"",IFERROR(((K12-H12)/L12)*IF($D12="Buy",1,-1),""))</f>
        <v/>
      </c>
      <c r="R12" s="42" t="str">
        <f aca="false">IF(OR(N12="",$G12=""),"",IFERROR(N12*M12*G12,""))</f>
        <v/>
      </c>
      <c r="S12" s="42" t="str">
        <f aca="false">IF(OR(Q12="",$G12=""),"",IFERROR(Q12*M12*G12,""))</f>
        <v/>
      </c>
      <c r="T12" s="41" t="str">
        <f aca="false">IF(OR(S12="",R12="",R12=0),"",S12/R12)</f>
        <v/>
      </c>
      <c r="U12" s="43" t="str">
        <f aca="false">IF(S12="","",IF(S12&gt;0,"Win",IF(S12&lt;0,"Loss","BE")))</f>
        <v/>
      </c>
      <c r="V12" s="44" t="str">
        <f aca="false">IF(OR($H12="",R12=""),"",IFERROR(R12/(W12-S12),""))</f>
        <v/>
      </c>
      <c r="W12" s="45" t="str">
        <f aca="false">IF($H12="","",Settings!$B$3+SUM($S$2:S12))</f>
        <v/>
      </c>
      <c r="X12" s="45" t="str">
        <f aca="false">IF($H12="","",MAX(Settings!$B$3,MAX($W$2:W12)))</f>
        <v/>
      </c>
      <c r="Y12" s="44" t="str">
        <f aca="false">IF(OR($H12="",X12=""),"",IFERROR((W12-X12)/X12,""))</f>
        <v/>
      </c>
      <c r="Z12" s="35"/>
    </row>
    <row r="13" customFormat="false" ht="15" hidden="false" customHeight="true" outlineLevel="0" collapsed="false">
      <c r="A13" s="34" t="str">
        <f aca="false">IF($H13="","",ROW()-1)</f>
        <v/>
      </c>
      <c r="B13" s="35"/>
      <c r="C13" s="35"/>
      <c r="D13" s="34"/>
      <c r="E13" s="34"/>
      <c r="F13" s="35"/>
      <c r="G13" s="36"/>
      <c r="H13" s="37"/>
      <c r="I13" s="37"/>
      <c r="J13" s="37"/>
      <c r="K13" s="37"/>
      <c r="L13" s="38" t="str">
        <f aca="false">IFERROR(VLOOKUP($C13,Settings!$A$9:$C$28,2,FALSE()),"")</f>
        <v/>
      </c>
      <c r="M13" s="39" t="str">
        <f aca="false">IFERROR(VLOOKUP($C13,Settings!$A$9:$C$28,3,FALSE()),"")</f>
        <v/>
      </c>
      <c r="N13" s="40" t="str">
        <f aca="false">IF(OR($H13="",$I13=""),"",IFERROR(ABS(H13-I13)/L13,""))</f>
        <v/>
      </c>
      <c r="O13" s="40" t="str">
        <f aca="false">IF(OR($H13="",$J13=""),"",IFERROR(ABS(J13-H13)/L13,""))</f>
        <v/>
      </c>
      <c r="P13" s="41" t="str">
        <f aca="false">IF(OR(N13="",O13="",N13=0),"",O13/N13)</f>
        <v/>
      </c>
      <c r="Q13" s="40" t="str">
        <f aca="false">IF(OR($H13="",$K13=""),"",IFERROR(((K13-H13)/L13)*IF($D13="Buy",1,-1),""))</f>
        <v/>
      </c>
      <c r="R13" s="42" t="str">
        <f aca="false">IF(OR(N13="",$G13=""),"",IFERROR(N13*M13*G13,""))</f>
        <v/>
      </c>
      <c r="S13" s="42" t="str">
        <f aca="false">IF(OR(Q13="",$G13=""),"",IFERROR(Q13*M13*G13,""))</f>
        <v/>
      </c>
      <c r="T13" s="41" t="str">
        <f aca="false">IF(OR(S13="",R13="",R13=0),"",S13/R13)</f>
        <v/>
      </c>
      <c r="U13" s="43" t="str">
        <f aca="false">IF(S13="","",IF(S13&gt;0,"Win",IF(S13&lt;0,"Loss","BE")))</f>
        <v/>
      </c>
      <c r="V13" s="44" t="str">
        <f aca="false">IF(OR($H13="",R13=""),"",IFERROR(R13/(W13-S13),""))</f>
        <v/>
      </c>
      <c r="W13" s="45" t="str">
        <f aca="false">IF($H13="","",Settings!$B$3+SUM($S$2:S13))</f>
        <v/>
      </c>
      <c r="X13" s="45" t="str">
        <f aca="false">IF($H13="","",MAX(Settings!$B$3,MAX($W$2:W13)))</f>
        <v/>
      </c>
      <c r="Y13" s="44" t="str">
        <f aca="false">IF(OR($H13="",X13=""),"",IFERROR((W13-X13)/X13,""))</f>
        <v/>
      </c>
      <c r="Z13" s="35"/>
    </row>
    <row r="14" customFormat="false" ht="15" hidden="false" customHeight="true" outlineLevel="0" collapsed="false">
      <c r="A14" s="34" t="str">
        <f aca="false">IF($H14="","",ROW()-1)</f>
        <v/>
      </c>
      <c r="B14" s="35"/>
      <c r="C14" s="35"/>
      <c r="D14" s="34"/>
      <c r="E14" s="34"/>
      <c r="F14" s="35"/>
      <c r="G14" s="36"/>
      <c r="H14" s="37"/>
      <c r="I14" s="37"/>
      <c r="J14" s="37"/>
      <c r="K14" s="37"/>
      <c r="L14" s="38" t="str">
        <f aca="false">IFERROR(VLOOKUP($C14,Settings!$A$9:$C$28,2,FALSE()),"")</f>
        <v/>
      </c>
      <c r="M14" s="39" t="str">
        <f aca="false">IFERROR(VLOOKUP($C14,Settings!$A$9:$C$28,3,FALSE()),"")</f>
        <v/>
      </c>
      <c r="N14" s="40" t="str">
        <f aca="false">IF(OR($H14="",$I14=""),"",IFERROR(ABS(H14-I14)/L14,""))</f>
        <v/>
      </c>
      <c r="O14" s="40" t="str">
        <f aca="false">IF(OR($H14="",$J14=""),"",IFERROR(ABS(J14-H14)/L14,""))</f>
        <v/>
      </c>
      <c r="P14" s="41" t="str">
        <f aca="false">IF(OR(N14="",O14="",N14=0),"",O14/N14)</f>
        <v/>
      </c>
      <c r="Q14" s="40" t="str">
        <f aca="false">IF(OR($H14="",$K14=""),"",IFERROR(((K14-H14)/L14)*IF($D14="Buy",1,-1),""))</f>
        <v/>
      </c>
      <c r="R14" s="42" t="str">
        <f aca="false">IF(OR(N14="",$G14=""),"",IFERROR(N14*M14*G14,""))</f>
        <v/>
      </c>
      <c r="S14" s="42" t="str">
        <f aca="false">IF(OR(Q14="",$G14=""),"",IFERROR(Q14*M14*G14,""))</f>
        <v/>
      </c>
      <c r="T14" s="41" t="str">
        <f aca="false">IF(OR(S14="",R14="",R14=0),"",S14/R14)</f>
        <v/>
      </c>
      <c r="U14" s="43" t="str">
        <f aca="false">IF(S14="","",IF(S14&gt;0,"Win",IF(S14&lt;0,"Loss","BE")))</f>
        <v/>
      </c>
      <c r="V14" s="44" t="str">
        <f aca="false">IF(OR($H14="",R14=""),"",IFERROR(R14/(W14-S14),""))</f>
        <v/>
      </c>
      <c r="W14" s="45" t="str">
        <f aca="false">IF($H14="","",Settings!$B$3+SUM($S$2:S14))</f>
        <v/>
      </c>
      <c r="X14" s="45" t="str">
        <f aca="false">IF($H14="","",MAX(Settings!$B$3,MAX($W$2:W14)))</f>
        <v/>
      </c>
      <c r="Y14" s="44" t="str">
        <f aca="false">IF(OR($H14="",X14=""),"",IFERROR((W14-X14)/X14,""))</f>
        <v/>
      </c>
      <c r="Z14" s="35"/>
    </row>
    <row r="15" customFormat="false" ht="15" hidden="false" customHeight="true" outlineLevel="0" collapsed="false">
      <c r="A15" s="34" t="str">
        <f aca="false">IF($H15="","",ROW()-1)</f>
        <v/>
      </c>
      <c r="B15" s="35"/>
      <c r="C15" s="35"/>
      <c r="D15" s="34"/>
      <c r="E15" s="34"/>
      <c r="F15" s="35"/>
      <c r="G15" s="36"/>
      <c r="H15" s="37"/>
      <c r="I15" s="37"/>
      <c r="J15" s="37"/>
      <c r="K15" s="37"/>
      <c r="L15" s="38" t="str">
        <f aca="false">IFERROR(VLOOKUP($C15,Settings!$A$9:$C$28,2,FALSE()),"")</f>
        <v/>
      </c>
      <c r="M15" s="39" t="str">
        <f aca="false">IFERROR(VLOOKUP($C15,Settings!$A$9:$C$28,3,FALSE()),"")</f>
        <v/>
      </c>
      <c r="N15" s="40" t="str">
        <f aca="false">IF(OR($H15="",$I15=""),"",IFERROR(ABS(H15-I15)/L15,""))</f>
        <v/>
      </c>
      <c r="O15" s="40" t="str">
        <f aca="false">IF(OR($H15="",$J15=""),"",IFERROR(ABS(J15-H15)/L15,""))</f>
        <v/>
      </c>
      <c r="P15" s="41" t="str">
        <f aca="false">IF(OR(N15="",O15="",N15=0),"",O15/N15)</f>
        <v/>
      </c>
      <c r="Q15" s="40" t="str">
        <f aca="false">IF(OR($H15="",$K15=""),"",IFERROR(((K15-H15)/L15)*IF($D15="Buy",1,-1),""))</f>
        <v/>
      </c>
      <c r="R15" s="42" t="str">
        <f aca="false">IF(OR(N15="",$G15=""),"",IFERROR(N15*M15*G15,""))</f>
        <v/>
      </c>
      <c r="S15" s="42" t="str">
        <f aca="false">IF(OR(Q15="",$G15=""),"",IFERROR(Q15*M15*G15,""))</f>
        <v/>
      </c>
      <c r="T15" s="41" t="str">
        <f aca="false">IF(OR(S15="",R15="",R15=0),"",S15/R15)</f>
        <v/>
      </c>
      <c r="U15" s="43" t="str">
        <f aca="false">IF(S15="","",IF(S15&gt;0,"Win",IF(S15&lt;0,"Loss","BE")))</f>
        <v/>
      </c>
      <c r="V15" s="44" t="str">
        <f aca="false">IF(OR($H15="",R15=""),"",IFERROR(R15/(W15-S15),""))</f>
        <v/>
      </c>
      <c r="W15" s="45" t="str">
        <f aca="false">IF($H15="","",Settings!$B$3+SUM($S$2:S15))</f>
        <v/>
      </c>
      <c r="X15" s="45" t="str">
        <f aca="false">IF($H15="","",MAX(Settings!$B$3,MAX($W$2:W15)))</f>
        <v/>
      </c>
      <c r="Y15" s="44" t="str">
        <f aca="false">IF(OR($H15="",X15=""),"",IFERROR((W15-X15)/X15,""))</f>
        <v/>
      </c>
      <c r="Z15" s="35"/>
    </row>
    <row r="16" customFormat="false" ht="15" hidden="false" customHeight="true" outlineLevel="0" collapsed="false">
      <c r="A16" s="34" t="str">
        <f aca="false">IF($H16="","",ROW()-1)</f>
        <v/>
      </c>
      <c r="B16" s="35"/>
      <c r="C16" s="35"/>
      <c r="D16" s="34"/>
      <c r="E16" s="34"/>
      <c r="F16" s="35"/>
      <c r="G16" s="36"/>
      <c r="H16" s="37"/>
      <c r="I16" s="37"/>
      <c r="J16" s="37"/>
      <c r="K16" s="37"/>
      <c r="L16" s="38" t="str">
        <f aca="false">IFERROR(VLOOKUP($C16,Settings!$A$9:$C$28,2,FALSE()),"")</f>
        <v/>
      </c>
      <c r="M16" s="39" t="str">
        <f aca="false">IFERROR(VLOOKUP($C16,Settings!$A$9:$C$28,3,FALSE()),"")</f>
        <v/>
      </c>
      <c r="N16" s="40" t="str">
        <f aca="false">IF(OR($H16="",$I16=""),"",IFERROR(ABS(H16-I16)/L16,""))</f>
        <v/>
      </c>
      <c r="O16" s="40" t="str">
        <f aca="false">IF(OR($H16="",$J16=""),"",IFERROR(ABS(J16-H16)/L16,""))</f>
        <v/>
      </c>
      <c r="P16" s="41" t="str">
        <f aca="false">IF(OR(N16="",O16="",N16=0),"",O16/N16)</f>
        <v/>
      </c>
      <c r="Q16" s="40" t="str">
        <f aca="false">IF(OR($H16="",$K16=""),"",IFERROR(((K16-H16)/L16)*IF($D16="Buy",1,-1),""))</f>
        <v/>
      </c>
      <c r="R16" s="42" t="str">
        <f aca="false">IF(OR(N16="",$G16=""),"",IFERROR(N16*M16*G16,""))</f>
        <v/>
      </c>
      <c r="S16" s="42" t="str">
        <f aca="false">IF(OR(Q16="",$G16=""),"",IFERROR(Q16*M16*G16,""))</f>
        <v/>
      </c>
      <c r="T16" s="41" t="str">
        <f aca="false">IF(OR(S16="",R16="",R16=0),"",S16/R16)</f>
        <v/>
      </c>
      <c r="U16" s="43" t="str">
        <f aca="false">IF(S16="","",IF(S16&gt;0,"Win",IF(S16&lt;0,"Loss","BE")))</f>
        <v/>
      </c>
      <c r="V16" s="44" t="str">
        <f aca="false">IF(OR($H16="",R16=""),"",IFERROR(R16/(W16-S16),""))</f>
        <v/>
      </c>
      <c r="W16" s="45" t="str">
        <f aca="false">IF($H16="","",Settings!$B$3+SUM($S$2:S16))</f>
        <v/>
      </c>
      <c r="X16" s="45" t="str">
        <f aca="false">IF($H16="","",MAX(Settings!$B$3,MAX($W$2:W16)))</f>
        <v/>
      </c>
      <c r="Y16" s="44" t="str">
        <f aca="false">IF(OR($H16="",X16=""),"",IFERROR((W16-X16)/X16,""))</f>
        <v/>
      </c>
      <c r="Z16" s="35"/>
    </row>
    <row r="17" customFormat="false" ht="15" hidden="false" customHeight="true" outlineLevel="0" collapsed="false">
      <c r="A17" s="34" t="str">
        <f aca="false">IF($H17="","",ROW()-1)</f>
        <v/>
      </c>
      <c r="B17" s="35"/>
      <c r="C17" s="35"/>
      <c r="D17" s="34"/>
      <c r="E17" s="34"/>
      <c r="F17" s="35"/>
      <c r="G17" s="36"/>
      <c r="H17" s="37"/>
      <c r="I17" s="37"/>
      <c r="J17" s="37"/>
      <c r="K17" s="37"/>
      <c r="L17" s="38" t="str">
        <f aca="false">IFERROR(VLOOKUP($C17,Settings!$A$9:$C$28,2,FALSE()),"")</f>
        <v/>
      </c>
      <c r="M17" s="39" t="str">
        <f aca="false">IFERROR(VLOOKUP($C17,Settings!$A$9:$C$28,3,FALSE()),"")</f>
        <v/>
      </c>
      <c r="N17" s="40" t="str">
        <f aca="false">IF(OR($H17="",$I17=""),"",IFERROR(ABS(H17-I17)/L17,""))</f>
        <v/>
      </c>
      <c r="O17" s="40" t="str">
        <f aca="false">IF(OR($H17="",$J17=""),"",IFERROR(ABS(J17-H17)/L17,""))</f>
        <v/>
      </c>
      <c r="P17" s="41" t="str">
        <f aca="false">IF(OR(N17="",O17="",N17=0),"",O17/N17)</f>
        <v/>
      </c>
      <c r="Q17" s="40" t="str">
        <f aca="false">IF(OR($H17="",$K17=""),"",IFERROR(((K17-H17)/L17)*IF($D17="Buy",1,-1),""))</f>
        <v/>
      </c>
      <c r="R17" s="42" t="str">
        <f aca="false">IF(OR(N17="",$G17=""),"",IFERROR(N17*M17*G17,""))</f>
        <v/>
      </c>
      <c r="S17" s="42" t="str">
        <f aca="false">IF(OR(Q17="",$G17=""),"",IFERROR(Q17*M17*G17,""))</f>
        <v/>
      </c>
      <c r="T17" s="41" t="str">
        <f aca="false">IF(OR(S17="",R17="",R17=0),"",S17/R17)</f>
        <v/>
      </c>
      <c r="U17" s="43" t="str">
        <f aca="false">IF(S17="","",IF(S17&gt;0,"Win",IF(S17&lt;0,"Loss","BE")))</f>
        <v/>
      </c>
      <c r="V17" s="44" t="str">
        <f aca="false">IF(OR($H17="",R17=""),"",IFERROR(R17/(W17-S17),""))</f>
        <v/>
      </c>
      <c r="W17" s="45" t="str">
        <f aca="false">IF($H17="","",Settings!$B$3+SUM($S$2:S17))</f>
        <v/>
      </c>
      <c r="X17" s="45" t="str">
        <f aca="false">IF($H17="","",MAX(Settings!$B$3,MAX($W$2:W17)))</f>
        <v/>
      </c>
      <c r="Y17" s="44" t="str">
        <f aca="false">IF(OR($H17="",X17=""),"",IFERROR((W17-X17)/X17,""))</f>
        <v/>
      </c>
      <c r="Z17" s="35"/>
    </row>
    <row r="18" customFormat="false" ht="15" hidden="false" customHeight="true" outlineLevel="0" collapsed="false">
      <c r="A18" s="34" t="str">
        <f aca="false">IF($H18="","",ROW()-1)</f>
        <v/>
      </c>
      <c r="B18" s="35"/>
      <c r="C18" s="35"/>
      <c r="D18" s="34"/>
      <c r="E18" s="34"/>
      <c r="F18" s="35"/>
      <c r="G18" s="36"/>
      <c r="H18" s="37"/>
      <c r="I18" s="37"/>
      <c r="J18" s="37"/>
      <c r="K18" s="37"/>
      <c r="L18" s="38" t="str">
        <f aca="false">IFERROR(VLOOKUP($C18,Settings!$A$9:$C$28,2,FALSE()),"")</f>
        <v/>
      </c>
      <c r="M18" s="39" t="str">
        <f aca="false">IFERROR(VLOOKUP($C18,Settings!$A$9:$C$28,3,FALSE()),"")</f>
        <v/>
      </c>
      <c r="N18" s="40" t="str">
        <f aca="false">IF(OR($H18="",$I18=""),"",IFERROR(ABS(H18-I18)/L18,""))</f>
        <v/>
      </c>
      <c r="O18" s="40" t="str">
        <f aca="false">IF(OR($H18="",$J18=""),"",IFERROR(ABS(J18-H18)/L18,""))</f>
        <v/>
      </c>
      <c r="P18" s="41" t="str">
        <f aca="false">IF(OR(N18="",O18="",N18=0),"",O18/N18)</f>
        <v/>
      </c>
      <c r="Q18" s="40" t="str">
        <f aca="false">IF(OR($H18="",$K18=""),"",IFERROR(((K18-H18)/L18)*IF($D18="Buy",1,-1),""))</f>
        <v/>
      </c>
      <c r="R18" s="42" t="str">
        <f aca="false">IF(OR(N18="",$G18=""),"",IFERROR(N18*M18*G18,""))</f>
        <v/>
      </c>
      <c r="S18" s="42" t="str">
        <f aca="false">IF(OR(Q18="",$G18=""),"",IFERROR(Q18*M18*G18,""))</f>
        <v/>
      </c>
      <c r="T18" s="41" t="str">
        <f aca="false">IF(OR(S18="",R18="",R18=0),"",S18/R18)</f>
        <v/>
      </c>
      <c r="U18" s="43" t="str">
        <f aca="false">IF(S18="","",IF(S18&gt;0,"Win",IF(S18&lt;0,"Loss","BE")))</f>
        <v/>
      </c>
      <c r="V18" s="44" t="str">
        <f aca="false">IF(OR($H18="",R18=""),"",IFERROR(R18/(W18-S18),""))</f>
        <v/>
      </c>
      <c r="W18" s="45" t="str">
        <f aca="false">IF($H18="","",Settings!$B$3+SUM($S$2:S18))</f>
        <v/>
      </c>
      <c r="X18" s="45" t="str">
        <f aca="false">IF($H18="","",MAX(Settings!$B$3,MAX($W$2:W18)))</f>
        <v/>
      </c>
      <c r="Y18" s="44" t="str">
        <f aca="false">IF(OR($H18="",X18=""),"",IFERROR((W18-X18)/X18,""))</f>
        <v/>
      </c>
      <c r="Z18" s="35"/>
    </row>
    <row r="19" customFormat="false" ht="15" hidden="false" customHeight="true" outlineLevel="0" collapsed="false">
      <c r="A19" s="34" t="str">
        <f aca="false">IF($H19="","",ROW()-1)</f>
        <v/>
      </c>
      <c r="B19" s="35"/>
      <c r="C19" s="35"/>
      <c r="D19" s="34"/>
      <c r="E19" s="34"/>
      <c r="F19" s="35"/>
      <c r="G19" s="36"/>
      <c r="H19" s="37"/>
      <c r="I19" s="37"/>
      <c r="J19" s="37"/>
      <c r="K19" s="37"/>
      <c r="L19" s="38" t="str">
        <f aca="false">IFERROR(VLOOKUP($C19,Settings!$A$9:$C$28,2,FALSE()),"")</f>
        <v/>
      </c>
      <c r="M19" s="39" t="str">
        <f aca="false">IFERROR(VLOOKUP($C19,Settings!$A$9:$C$28,3,FALSE()),"")</f>
        <v/>
      </c>
      <c r="N19" s="40" t="str">
        <f aca="false">IF(OR($H19="",$I19=""),"",IFERROR(ABS(H19-I19)/L19,""))</f>
        <v/>
      </c>
      <c r="O19" s="40" t="str">
        <f aca="false">IF(OR($H19="",$J19=""),"",IFERROR(ABS(J19-H19)/L19,""))</f>
        <v/>
      </c>
      <c r="P19" s="41" t="str">
        <f aca="false">IF(OR(N19="",O19="",N19=0),"",O19/N19)</f>
        <v/>
      </c>
      <c r="Q19" s="40" t="str">
        <f aca="false">IF(OR($H19="",$K19=""),"",IFERROR(((K19-H19)/L19)*IF($D19="Buy",1,-1),""))</f>
        <v/>
      </c>
      <c r="R19" s="42" t="str">
        <f aca="false">IF(OR(N19="",$G19=""),"",IFERROR(N19*M19*G19,""))</f>
        <v/>
      </c>
      <c r="S19" s="42" t="str">
        <f aca="false">IF(OR(Q19="",$G19=""),"",IFERROR(Q19*M19*G19,""))</f>
        <v/>
      </c>
      <c r="T19" s="41" t="str">
        <f aca="false">IF(OR(S19="",R19="",R19=0),"",S19/R19)</f>
        <v/>
      </c>
      <c r="U19" s="43" t="str">
        <f aca="false">IF(S19="","",IF(S19&gt;0,"Win",IF(S19&lt;0,"Loss","BE")))</f>
        <v/>
      </c>
      <c r="V19" s="44" t="str">
        <f aca="false">IF(OR($H19="",R19=""),"",IFERROR(R19/(W19-S19),""))</f>
        <v/>
      </c>
      <c r="W19" s="45" t="str">
        <f aca="false">IF($H19="","",Settings!$B$3+SUM($S$2:S19))</f>
        <v/>
      </c>
      <c r="X19" s="45" t="str">
        <f aca="false">IF($H19="","",MAX(Settings!$B$3,MAX($W$2:W19)))</f>
        <v/>
      </c>
      <c r="Y19" s="44" t="str">
        <f aca="false">IF(OR($H19="",X19=""),"",IFERROR((W19-X19)/X19,""))</f>
        <v/>
      </c>
      <c r="Z19" s="35"/>
    </row>
    <row r="20" customFormat="false" ht="15" hidden="false" customHeight="true" outlineLevel="0" collapsed="false">
      <c r="A20" s="34" t="str">
        <f aca="false">IF($H20="","",ROW()-1)</f>
        <v/>
      </c>
      <c r="B20" s="35"/>
      <c r="C20" s="35"/>
      <c r="D20" s="34"/>
      <c r="E20" s="34"/>
      <c r="F20" s="35"/>
      <c r="G20" s="36"/>
      <c r="H20" s="37"/>
      <c r="I20" s="37"/>
      <c r="J20" s="37"/>
      <c r="K20" s="37"/>
      <c r="L20" s="38" t="str">
        <f aca="false">IFERROR(VLOOKUP($C20,Settings!$A$9:$C$28,2,FALSE()),"")</f>
        <v/>
      </c>
      <c r="M20" s="39" t="str">
        <f aca="false">IFERROR(VLOOKUP($C20,Settings!$A$9:$C$28,3,FALSE()),"")</f>
        <v/>
      </c>
      <c r="N20" s="40" t="str">
        <f aca="false">IF(OR($H20="",$I20=""),"",IFERROR(ABS(H20-I20)/L20,""))</f>
        <v/>
      </c>
      <c r="O20" s="40" t="str">
        <f aca="false">IF(OR($H20="",$J20=""),"",IFERROR(ABS(J20-H20)/L20,""))</f>
        <v/>
      </c>
      <c r="P20" s="41" t="str">
        <f aca="false">IF(OR(N20="",O20="",N20=0),"",O20/N20)</f>
        <v/>
      </c>
      <c r="Q20" s="40" t="str">
        <f aca="false">IF(OR($H20="",$K20=""),"",IFERROR(((K20-H20)/L20)*IF($D20="Buy",1,-1),""))</f>
        <v/>
      </c>
      <c r="R20" s="42" t="str">
        <f aca="false">IF(OR(N20="",$G20=""),"",IFERROR(N20*M20*G20,""))</f>
        <v/>
      </c>
      <c r="S20" s="42" t="str">
        <f aca="false">IF(OR(Q20="",$G20=""),"",IFERROR(Q20*M20*G20,""))</f>
        <v/>
      </c>
      <c r="T20" s="41" t="str">
        <f aca="false">IF(OR(S20="",R20="",R20=0),"",S20/R20)</f>
        <v/>
      </c>
      <c r="U20" s="43" t="str">
        <f aca="false">IF(S20="","",IF(S20&gt;0,"Win",IF(S20&lt;0,"Loss","BE")))</f>
        <v/>
      </c>
      <c r="V20" s="44" t="str">
        <f aca="false">IF(OR($H20="",R20=""),"",IFERROR(R20/(W20-S20),""))</f>
        <v/>
      </c>
      <c r="W20" s="45" t="str">
        <f aca="false">IF($H20="","",Settings!$B$3+SUM($S$2:S20))</f>
        <v/>
      </c>
      <c r="X20" s="45" t="str">
        <f aca="false">IF($H20="","",MAX(Settings!$B$3,MAX($W$2:W20)))</f>
        <v/>
      </c>
      <c r="Y20" s="44" t="str">
        <f aca="false">IF(OR($H20="",X20=""),"",IFERROR((W20-X20)/X20,""))</f>
        <v/>
      </c>
      <c r="Z20" s="35"/>
    </row>
    <row r="21" customFormat="false" ht="15" hidden="false" customHeight="true" outlineLevel="0" collapsed="false">
      <c r="A21" s="34" t="str">
        <f aca="false">IF($H21="","",ROW()-1)</f>
        <v/>
      </c>
      <c r="B21" s="35"/>
      <c r="C21" s="35"/>
      <c r="D21" s="34"/>
      <c r="E21" s="34"/>
      <c r="F21" s="35"/>
      <c r="G21" s="36"/>
      <c r="H21" s="37"/>
      <c r="I21" s="37"/>
      <c r="J21" s="37"/>
      <c r="K21" s="37"/>
      <c r="L21" s="38" t="str">
        <f aca="false">IFERROR(VLOOKUP($C21,Settings!$A$9:$C$28,2,FALSE()),"")</f>
        <v/>
      </c>
      <c r="M21" s="39" t="str">
        <f aca="false">IFERROR(VLOOKUP($C21,Settings!$A$9:$C$28,3,FALSE()),"")</f>
        <v/>
      </c>
      <c r="N21" s="40" t="str">
        <f aca="false">IF(OR($H21="",$I21=""),"",IFERROR(ABS(H21-I21)/L21,""))</f>
        <v/>
      </c>
      <c r="O21" s="40" t="str">
        <f aca="false">IF(OR($H21="",$J21=""),"",IFERROR(ABS(J21-H21)/L21,""))</f>
        <v/>
      </c>
      <c r="P21" s="41" t="str">
        <f aca="false">IF(OR(N21="",O21="",N21=0),"",O21/N21)</f>
        <v/>
      </c>
      <c r="Q21" s="40" t="str">
        <f aca="false">IF(OR($H21="",$K21=""),"",IFERROR(((K21-H21)/L21)*IF($D21="Buy",1,-1),""))</f>
        <v/>
      </c>
      <c r="R21" s="42" t="str">
        <f aca="false">IF(OR(N21="",$G21=""),"",IFERROR(N21*M21*G21,""))</f>
        <v/>
      </c>
      <c r="S21" s="42" t="str">
        <f aca="false">IF(OR(Q21="",$G21=""),"",IFERROR(Q21*M21*G21,""))</f>
        <v/>
      </c>
      <c r="T21" s="41" t="str">
        <f aca="false">IF(OR(S21="",R21="",R21=0),"",S21/R21)</f>
        <v/>
      </c>
      <c r="U21" s="43" t="str">
        <f aca="false">IF(S21="","",IF(S21&gt;0,"Win",IF(S21&lt;0,"Loss","BE")))</f>
        <v/>
      </c>
      <c r="V21" s="44" t="str">
        <f aca="false">IF(OR($H21="",R21=""),"",IFERROR(R21/(W21-S21),""))</f>
        <v/>
      </c>
      <c r="W21" s="45" t="str">
        <f aca="false">IF($H21="","",Settings!$B$3+SUM($S$2:S21))</f>
        <v/>
      </c>
      <c r="X21" s="45" t="str">
        <f aca="false">IF($H21="","",MAX(Settings!$B$3,MAX($W$2:W21)))</f>
        <v/>
      </c>
      <c r="Y21" s="44" t="str">
        <f aca="false">IF(OR($H21="",X21=""),"",IFERROR((W21-X21)/X21,""))</f>
        <v/>
      </c>
      <c r="Z21" s="35"/>
    </row>
    <row r="22" customFormat="false" ht="15" hidden="false" customHeight="true" outlineLevel="0" collapsed="false">
      <c r="A22" s="34" t="str">
        <f aca="false">IF($H22="","",ROW()-1)</f>
        <v/>
      </c>
      <c r="B22" s="35"/>
      <c r="C22" s="35"/>
      <c r="D22" s="34"/>
      <c r="E22" s="34"/>
      <c r="F22" s="35"/>
      <c r="G22" s="36"/>
      <c r="H22" s="37"/>
      <c r="I22" s="37"/>
      <c r="J22" s="37"/>
      <c r="K22" s="37"/>
      <c r="L22" s="38" t="str">
        <f aca="false">IFERROR(VLOOKUP($C22,Settings!$A$9:$C$28,2,FALSE()),"")</f>
        <v/>
      </c>
      <c r="M22" s="39" t="str">
        <f aca="false">IFERROR(VLOOKUP($C22,Settings!$A$9:$C$28,3,FALSE()),"")</f>
        <v/>
      </c>
      <c r="N22" s="40" t="str">
        <f aca="false">IF(OR($H22="",$I22=""),"",IFERROR(ABS(H22-I22)/L22,""))</f>
        <v/>
      </c>
      <c r="O22" s="40" t="str">
        <f aca="false">IF(OR($H22="",$J22=""),"",IFERROR(ABS(J22-H22)/L22,""))</f>
        <v/>
      </c>
      <c r="P22" s="41" t="str">
        <f aca="false">IF(OR(N22="",O22="",N22=0),"",O22/N22)</f>
        <v/>
      </c>
      <c r="Q22" s="40" t="str">
        <f aca="false">IF(OR($H22="",$K22=""),"",IFERROR(((K22-H22)/L22)*IF($D22="Buy",1,-1),""))</f>
        <v/>
      </c>
      <c r="R22" s="42" t="str">
        <f aca="false">IF(OR(N22="",$G22=""),"",IFERROR(N22*M22*G22,""))</f>
        <v/>
      </c>
      <c r="S22" s="42" t="str">
        <f aca="false">IF(OR(Q22="",$G22=""),"",IFERROR(Q22*M22*G22,""))</f>
        <v/>
      </c>
      <c r="T22" s="41" t="str">
        <f aca="false">IF(OR(S22="",R22="",R22=0),"",S22/R22)</f>
        <v/>
      </c>
      <c r="U22" s="43" t="str">
        <f aca="false">IF(S22="","",IF(S22&gt;0,"Win",IF(S22&lt;0,"Loss","BE")))</f>
        <v/>
      </c>
      <c r="V22" s="44" t="str">
        <f aca="false">IF(OR($H22="",R22=""),"",IFERROR(R22/(W22-S22),""))</f>
        <v/>
      </c>
      <c r="W22" s="45" t="str">
        <f aca="false">IF($H22="","",Settings!$B$3+SUM($S$2:S22))</f>
        <v/>
      </c>
      <c r="X22" s="45" t="str">
        <f aca="false">IF($H22="","",MAX(Settings!$B$3,MAX($W$2:W22)))</f>
        <v/>
      </c>
      <c r="Y22" s="44" t="str">
        <f aca="false">IF(OR($H22="",X22=""),"",IFERROR((W22-X22)/X22,""))</f>
        <v/>
      </c>
      <c r="Z22" s="35"/>
    </row>
    <row r="23" customFormat="false" ht="15" hidden="false" customHeight="true" outlineLevel="0" collapsed="false">
      <c r="A23" s="34" t="str">
        <f aca="false">IF($H23="","",ROW()-1)</f>
        <v/>
      </c>
      <c r="B23" s="35"/>
      <c r="C23" s="35"/>
      <c r="D23" s="34"/>
      <c r="E23" s="34"/>
      <c r="F23" s="35"/>
      <c r="G23" s="36"/>
      <c r="H23" s="37"/>
      <c r="I23" s="37"/>
      <c r="J23" s="37"/>
      <c r="K23" s="37"/>
      <c r="L23" s="38" t="str">
        <f aca="false">IFERROR(VLOOKUP($C23,Settings!$A$9:$C$28,2,FALSE()),"")</f>
        <v/>
      </c>
      <c r="M23" s="39" t="str">
        <f aca="false">IFERROR(VLOOKUP($C23,Settings!$A$9:$C$28,3,FALSE()),"")</f>
        <v/>
      </c>
      <c r="N23" s="40" t="str">
        <f aca="false">IF(OR($H23="",$I23=""),"",IFERROR(ABS(H23-I23)/L23,""))</f>
        <v/>
      </c>
      <c r="O23" s="40" t="str">
        <f aca="false">IF(OR($H23="",$J23=""),"",IFERROR(ABS(J23-H23)/L23,""))</f>
        <v/>
      </c>
      <c r="P23" s="41" t="str">
        <f aca="false">IF(OR(N23="",O23="",N23=0),"",O23/N23)</f>
        <v/>
      </c>
      <c r="Q23" s="40" t="str">
        <f aca="false">IF(OR($H23="",$K23=""),"",IFERROR(((K23-H23)/L23)*IF($D23="Buy",1,-1),""))</f>
        <v/>
      </c>
      <c r="R23" s="42" t="str">
        <f aca="false">IF(OR(N23="",$G23=""),"",IFERROR(N23*M23*G23,""))</f>
        <v/>
      </c>
      <c r="S23" s="42" t="str">
        <f aca="false">IF(OR(Q23="",$G23=""),"",IFERROR(Q23*M23*G23,""))</f>
        <v/>
      </c>
      <c r="T23" s="41" t="str">
        <f aca="false">IF(OR(S23="",R23="",R23=0),"",S23/R23)</f>
        <v/>
      </c>
      <c r="U23" s="43" t="str">
        <f aca="false">IF(S23="","",IF(S23&gt;0,"Win",IF(S23&lt;0,"Loss","BE")))</f>
        <v/>
      </c>
      <c r="V23" s="44" t="str">
        <f aca="false">IF(OR($H23="",R23=""),"",IFERROR(R23/(W23-S23),""))</f>
        <v/>
      </c>
      <c r="W23" s="45" t="str">
        <f aca="false">IF($H23="","",Settings!$B$3+SUM($S$2:S23))</f>
        <v/>
      </c>
      <c r="X23" s="45" t="str">
        <f aca="false">IF($H23="","",MAX(Settings!$B$3,MAX($W$2:W23)))</f>
        <v/>
      </c>
      <c r="Y23" s="44" t="str">
        <f aca="false">IF(OR($H23="",X23=""),"",IFERROR((W23-X23)/X23,""))</f>
        <v/>
      </c>
      <c r="Z23" s="35"/>
    </row>
    <row r="24" customFormat="false" ht="15" hidden="false" customHeight="true" outlineLevel="0" collapsed="false">
      <c r="A24" s="34" t="str">
        <f aca="false">IF($H24="","",ROW()-1)</f>
        <v/>
      </c>
      <c r="B24" s="35"/>
      <c r="C24" s="35"/>
      <c r="D24" s="34"/>
      <c r="E24" s="34"/>
      <c r="F24" s="35"/>
      <c r="G24" s="36"/>
      <c r="H24" s="37"/>
      <c r="I24" s="37"/>
      <c r="J24" s="37"/>
      <c r="K24" s="37"/>
      <c r="L24" s="38" t="str">
        <f aca="false">IFERROR(VLOOKUP($C24,Settings!$A$9:$C$28,2,FALSE()),"")</f>
        <v/>
      </c>
      <c r="M24" s="39" t="str">
        <f aca="false">IFERROR(VLOOKUP($C24,Settings!$A$9:$C$28,3,FALSE()),"")</f>
        <v/>
      </c>
      <c r="N24" s="40" t="str">
        <f aca="false">IF(OR($H24="",$I24=""),"",IFERROR(ABS(H24-I24)/L24,""))</f>
        <v/>
      </c>
      <c r="O24" s="40" t="str">
        <f aca="false">IF(OR($H24="",$J24=""),"",IFERROR(ABS(J24-H24)/L24,""))</f>
        <v/>
      </c>
      <c r="P24" s="41" t="str">
        <f aca="false">IF(OR(N24="",O24="",N24=0),"",O24/N24)</f>
        <v/>
      </c>
      <c r="Q24" s="40" t="str">
        <f aca="false">IF(OR($H24="",$K24=""),"",IFERROR(((K24-H24)/L24)*IF($D24="Buy",1,-1),""))</f>
        <v/>
      </c>
      <c r="R24" s="42" t="str">
        <f aca="false">IF(OR(N24="",$G24=""),"",IFERROR(N24*M24*G24,""))</f>
        <v/>
      </c>
      <c r="S24" s="42" t="str">
        <f aca="false">IF(OR(Q24="",$G24=""),"",IFERROR(Q24*M24*G24,""))</f>
        <v/>
      </c>
      <c r="T24" s="41" t="str">
        <f aca="false">IF(OR(S24="",R24="",R24=0),"",S24/R24)</f>
        <v/>
      </c>
      <c r="U24" s="43" t="str">
        <f aca="false">IF(S24="","",IF(S24&gt;0,"Win",IF(S24&lt;0,"Loss","BE")))</f>
        <v/>
      </c>
      <c r="V24" s="44" t="str">
        <f aca="false">IF(OR($H24="",R24=""),"",IFERROR(R24/(W24-S24),""))</f>
        <v/>
      </c>
      <c r="W24" s="45" t="str">
        <f aca="false">IF($H24="","",Settings!$B$3+SUM($S$2:S24))</f>
        <v/>
      </c>
      <c r="X24" s="45" t="str">
        <f aca="false">IF($H24="","",MAX(Settings!$B$3,MAX($W$2:W24)))</f>
        <v/>
      </c>
      <c r="Y24" s="44" t="str">
        <f aca="false">IF(OR($H24="",X24=""),"",IFERROR((W24-X24)/X24,""))</f>
        <v/>
      </c>
      <c r="Z24" s="35"/>
    </row>
    <row r="25" customFormat="false" ht="15" hidden="false" customHeight="true" outlineLevel="0" collapsed="false">
      <c r="A25" s="34" t="str">
        <f aca="false">IF($H25="","",ROW()-1)</f>
        <v/>
      </c>
      <c r="B25" s="35"/>
      <c r="C25" s="35"/>
      <c r="D25" s="34"/>
      <c r="E25" s="34"/>
      <c r="F25" s="35"/>
      <c r="G25" s="36"/>
      <c r="H25" s="37"/>
      <c r="I25" s="37"/>
      <c r="J25" s="37"/>
      <c r="K25" s="37"/>
      <c r="L25" s="38" t="str">
        <f aca="false">IFERROR(VLOOKUP($C25,Settings!$A$9:$C$28,2,FALSE()),"")</f>
        <v/>
      </c>
      <c r="M25" s="39" t="str">
        <f aca="false">IFERROR(VLOOKUP($C25,Settings!$A$9:$C$28,3,FALSE()),"")</f>
        <v/>
      </c>
      <c r="N25" s="40" t="str">
        <f aca="false">IF(OR($H25="",$I25=""),"",IFERROR(ABS(H25-I25)/L25,""))</f>
        <v/>
      </c>
      <c r="O25" s="40" t="str">
        <f aca="false">IF(OR($H25="",$J25=""),"",IFERROR(ABS(J25-H25)/L25,""))</f>
        <v/>
      </c>
      <c r="P25" s="41" t="str">
        <f aca="false">IF(OR(N25="",O25="",N25=0),"",O25/N25)</f>
        <v/>
      </c>
      <c r="Q25" s="40" t="str">
        <f aca="false">IF(OR($H25="",$K25=""),"",IFERROR(((K25-H25)/L25)*IF($D25="Buy",1,-1),""))</f>
        <v/>
      </c>
      <c r="R25" s="42" t="str">
        <f aca="false">IF(OR(N25="",$G25=""),"",IFERROR(N25*M25*G25,""))</f>
        <v/>
      </c>
      <c r="S25" s="42" t="str">
        <f aca="false">IF(OR(Q25="",$G25=""),"",IFERROR(Q25*M25*G25,""))</f>
        <v/>
      </c>
      <c r="T25" s="41" t="str">
        <f aca="false">IF(OR(S25="",R25="",R25=0),"",S25/R25)</f>
        <v/>
      </c>
      <c r="U25" s="43" t="str">
        <f aca="false">IF(S25="","",IF(S25&gt;0,"Win",IF(S25&lt;0,"Loss","BE")))</f>
        <v/>
      </c>
      <c r="V25" s="44" t="str">
        <f aca="false">IF(OR($H25="",R25=""),"",IFERROR(R25/(W25-S25),""))</f>
        <v/>
      </c>
      <c r="W25" s="45" t="str">
        <f aca="false">IF($H25="","",Settings!$B$3+SUM($S$2:S25))</f>
        <v/>
      </c>
      <c r="X25" s="45" t="str">
        <f aca="false">IF($H25="","",MAX(Settings!$B$3,MAX($W$2:W25)))</f>
        <v/>
      </c>
      <c r="Y25" s="44" t="str">
        <f aca="false">IF(OR($H25="",X25=""),"",IFERROR((W25-X25)/X25,""))</f>
        <v/>
      </c>
      <c r="Z25" s="35"/>
    </row>
    <row r="26" customFormat="false" ht="15" hidden="false" customHeight="true" outlineLevel="0" collapsed="false">
      <c r="A26" s="34" t="str">
        <f aca="false">IF($H26="","",ROW()-1)</f>
        <v/>
      </c>
      <c r="B26" s="35"/>
      <c r="C26" s="35"/>
      <c r="D26" s="34"/>
      <c r="E26" s="34"/>
      <c r="F26" s="35"/>
      <c r="G26" s="36"/>
      <c r="H26" s="37"/>
      <c r="I26" s="37"/>
      <c r="J26" s="37"/>
      <c r="K26" s="37"/>
      <c r="L26" s="38" t="str">
        <f aca="false">IFERROR(VLOOKUP($C26,Settings!$A$9:$C$28,2,FALSE()),"")</f>
        <v/>
      </c>
      <c r="M26" s="39" t="str">
        <f aca="false">IFERROR(VLOOKUP($C26,Settings!$A$9:$C$28,3,FALSE()),"")</f>
        <v/>
      </c>
      <c r="N26" s="40" t="str">
        <f aca="false">IF(OR($H26="",$I26=""),"",IFERROR(ABS(H26-I26)/L26,""))</f>
        <v/>
      </c>
      <c r="O26" s="40" t="str">
        <f aca="false">IF(OR($H26="",$J26=""),"",IFERROR(ABS(J26-H26)/L26,""))</f>
        <v/>
      </c>
      <c r="P26" s="41" t="str">
        <f aca="false">IF(OR(N26="",O26="",N26=0),"",O26/N26)</f>
        <v/>
      </c>
      <c r="Q26" s="40" t="str">
        <f aca="false">IF(OR($H26="",$K26=""),"",IFERROR(((K26-H26)/L26)*IF($D26="Buy",1,-1),""))</f>
        <v/>
      </c>
      <c r="R26" s="42" t="str">
        <f aca="false">IF(OR(N26="",$G26=""),"",IFERROR(N26*M26*G26,""))</f>
        <v/>
      </c>
      <c r="S26" s="42" t="str">
        <f aca="false">IF(OR(Q26="",$G26=""),"",IFERROR(Q26*M26*G26,""))</f>
        <v/>
      </c>
      <c r="T26" s="41" t="str">
        <f aca="false">IF(OR(S26="",R26="",R26=0),"",S26/R26)</f>
        <v/>
      </c>
      <c r="U26" s="43" t="str">
        <f aca="false">IF(S26="","",IF(S26&gt;0,"Win",IF(S26&lt;0,"Loss","BE")))</f>
        <v/>
      </c>
      <c r="V26" s="44" t="str">
        <f aca="false">IF(OR($H26="",R26=""),"",IFERROR(R26/(W26-S26),""))</f>
        <v/>
      </c>
      <c r="W26" s="45" t="str">
        <f aca="false">IF($H26="","",Settings!$B$3+SUM($S$2:S26))</f>
        <v/>
      </c>
      <c r="X26" s="45" t="str">
        <f aca="false">IF($H26="","",MAX(Settings!$B$3,MAX($W$2:W26)))</f>
        <v/>
      </c>
      <c r="Y26" s="44" t="str">
        <f aca="false">IF(OR($H26="",X26=""),"",IFERROR((W26-X26)/X26,""))</f>
        <v/>
      </c>
      <c r="Z26" s="35"/>
    </row>
    <row r="27" customFormat="false" ht="15" hidden="false" customHeight="true" outlineLevel="0" collapsed="false">
      <c r="A27" s="34" t="str">
        <f aca="false">IF($H27="","",ROW()-1)</f>
        <v/>
      </c>
      <c r="B27" s="35"/>
      <c r="C27" s="35"/>
      <c r="D27" s="34"/>
      <c r="E27" s="34"/>
      <c r="F27" s="35"/>
      <c r="G27" s="36"/>
      <c r="H27" s="37"/>
      <c r="I27" s="37"/>
      <c r="J27" s="37"/>
      <c r="K27" s="37"/>
      <c r="L27" s="38" t="str">
        <f aca="false">IFERROR(VLOOKUP($C27,Settings!$A$9:$C$28,2,FALSE()),"")</f>
        <v/>
      </c>
      <c r="M27" s="39" t="str">
        <f aca="false">IFERROR(VLOOKUP($C27,Settings!$A$9:$C$28,3,FALSE()),"")</f>
        <v/>
      </c>
      <c r="N27" s="40" t="str">
        <f aca="false">IF(OR($H27="",$I27=""),"",IFERROR(ABS(H27-I27)/L27,""))</f>
        <v/>
      </c>
      <c r="O27" s="40" t="str">
        <f aca="false">IF(OR($H27="",$J27=""),"",IFERROR(ABS(J27-H27)/L27,""))</f>
        <v/>
      </c>
      <c r="P27" s="41" t="str">
        <f aca="false">IF(OR(N27="",O27="",N27=0),"",O27/N27)</f>
        <v/>
      </c>
      <c r="Q27" s="40" t="str">
        <f aca="false">IF(OR($H27="",$K27=""),"",IFERROR(((K27-H27)/L27)*IF($D27="Buy",1,-1),""))</f>
        <v/>
      </c>
      <c r="R27" s="42" t="str">
        <f aca="false">IF(OR(N27="",$G27=""),"",IFERROR(N27*M27*G27,""))</f>
        <v/>
      </c>
      <c r="S27" s="42" t="str">
        <f aca="false">IF(OR(Q27="",$G27=""),"",IFERROR(Q27*M27*G27,""))</f>
        <v/>
      </c>
      <c r="T27" s="41" t="str">
        <f aca="false">IF(OR(S27="",R27="",R27=0),"",S27/R27)</f>
        <v/>
      </c>
      <c r="U27" s="43" t="str">
        <f aca="false">IF(S27="","",IF(S27&gt;0,"Win",IF(S27&lt;0,"Loss","BE")))</f>
        <v/>
      </c>
      <c r="V27" s="44" t="str">
        <f aca="false">IF(OR($H27="",R27=""),"",IFERROR(R27/(W27-S27),""))</f>
        <v/>
      </c>
      <c r="W27" s="45" t="str">
        <f aca="false">IF($H27="","",Settings!$B$3+SUM($S$2:S27))</f>
        <v/>
      </c>
      <c r="X27" s="45" t="str">
        <f aca="false">IF($H27="","",MAX(Settings!$B$3,MAX($W$2:W27)))</f>
        <v/>
      </c>
      <c r="Y27" s="44" t="str">
        <f aca="false">IF(OR($H27="",X27=""),"",IFERROR((W27-X27)/X27,""))</f>
        <v/>
      </c>
      <c r="Z27" s="35"/>
    </row>
    <row r="28" customFormat="false" ht="15" hidden="false" customHeight="true" outlineLevel="0" collapsed="false">
      <c r="A28" s="34" t="str">
        <f aca="false">IF($H28="","",ROW()-1)</f>
        <v/>
      </c>
      <c r="B28" s="35"/>
      <c r="C28" s="35"/>
      <c r="D28" s="34"/>
      <c r="E28" s="34"/>
      <c r="F28" s="35"/>
      <c r="G28" s="36"/>
      <c r="H28" s="37"/>
      <c r="I28" s="37"/>
      <c r="J28" s="37"/>
      <c r="K28" s="37"/>
      <c r="L28" s="38" t="str">
        <f aca="false">IFERROR(VLOOKUP($C28,Settings!$A$9:$C$28,2,FALSE()),"")</f>
        <v/>
      </c>
      <c r="M28" s="39" t="str">
        <f aca="false">IFERROR(VLOOKUP($C28,Settings!$A$9:$C$28,3,FALSE()),"")</f>
        <v/>
      </c>
      <c r="N28" s="40" t="str">
        <f aca="false">IF(OR($H28="",$I28=""),"",IFERROR(ABS(H28-I28)/L28,""))</f>
        <v/>
      </c>
      <c r="O28" s="40" t="str">
        <f aca="false">IF(OR($H28="",$J28=""),"",IFERROR(ABS(J28-H28)/L28,""))</f>
        <v/>
      </c>
      <c r="P28" s="41" t="str">
        <f aca="false">IF(OR(N28="",O28="",N28=0),"",O28/N28)</f>
        <v/>
      </c>
      <c r="Q28" s="40" t="str">
        <f aca="false">IF(OR($H28="",$K28=""),"",IFERROR(((K28-H28)/L28)*IF($D28="Buy",1,-1),""))</f>
        <v/>
      </c>
      <c r="R28" s="42" t="str">
        <f aca="false">IF(OR(N28="",$G28=""),"",IFERROR(N28*M28*G28,""))</f>
        <v/>
      </c>
      <c r="S28" s="42" t="str">
        <f aca="false">IF(OR(Q28="",$G28=""),"",IFERROR(Q28*M28*G28,""))</f>
        <v/>
      </c>
      <c r="T28" s="41" t="str">
        <f aca="false">IF(OR(S28="",R28="",R28=0),"",S28/R28)</f>
        <v/>
      </c>
      <c r="U28" s="43" t="str">
        <f aca="false">IF(S28="","",IF(S28&gt;0,"Win",IF(S28&lt;0,"Loss","BE")))</f>
        <v/>
      </c>
      <c r="V28" s="44" t="str">
        <f aca="false">IF(OR($H28="",R28=""),"",IFERROR(R28/(W28-S28),""))</f>
        <v/>
      </c>
      <c r="W28" s="45" t="str">
        <f aca="false">IF($H28="","",Settings!$B$3+SUM($S$2:S28))</f>
        <v/>
      </c>
      <c r="X28" s="45" t="str">
        <f aca="false">IF($H28="","",MAX(Settings!$B$3,MAX($W$2:W28)))</f>
        <v/>
      </c>
      <c r="Y28" s="44" t="str">
        <f aca="false">IF(OR($H28="",X28=""),"",IFERROR((W28-X28)/X28,""))</f>
        <v/>
      </c>
      <c r="Z28" s="35"/>
    </row>
    <row r="29" customFormat="false" ht="15" hidden="false" customHeight="true" outlineLevel="0" collapsed="false">
      <c r="A29" s="34" t="str">
        <f aca="false">IF($H29="","",ROW()-1)</f>
        <v/>
      </c>
      <c r="B29" s="35"/>
      <c r="C29" s="35"/>
      <c r="D29" s="34"/>
      <c r="E29" s="34"/>
      <c r="F29" s="35"/>
      <c r="G29" s="36"/>
      <c r="H29" s="37"/>
      <c r="I29" s="37"/>
      <c r="J29" s="37"/>
      <c r="K29" s="37"/>
      <c r="L29" s="38" t="str">
        <f aca="false">IFERROR(VLOOKUP($C29,Settings!$A$9:$C$28,2,FALSE()),"")</f>
        <v/>
      </c>
      <c r="M29" s="39" t="str">
        <f aca="false">IFERROR(VLOOKUP($C29,Settings!$A$9:$C$28,3,FALSE()),"")</f>
        <v/>
      </c>
      <c r="N29" s="40" t="str">
        <f aca="false">IF(OR($H29="",$I29=""),"",IFERROR(ABS(H29-I29)/L29,""))</f>
        <v/>
      </c>
      <c r="O29" s="40" t="str">
        <f aca="false">IF(OR($H29="",$J29=""),"",IFERROR(ABS(J29-H29)/L29,""))</f>
        <v/>
      </c>
      <c r="P29" s="41" t="str">
        <f aca="false">IF(OR(N29="",O29="",N29=0),"",O29/N29)</f>
        <v/>
      </c>
      <c r="Q29" s="40" t="str">
        <f aca="false">IF(OR($H29="",$K29=""),"",IFERROR(((K29-H29)/L29)*IF($D29="Buy",1,-1),""))</f>
        <v/>
      </c>
      <c r="R29" s="42" t="str">
        <f aca="false">IF(OR(N29="",$G29=""),"",IFERROR(N29*M29*G29,""))</f>
        <v/>
      </c>
      <c r="S29" s="42" t="str">
        <f aca="false">IF(OR(Q29="",$G29=""),"",IFERROR(Q29*M29*G29,""))</f>
        <v/>
      </c>
      <c r="T29" s="41" t="str">
        <f aca="false">IF(OR(S29="",R29="",R29=0),"",S29/R29)</f>
        <v/>
      </c>
      <c r="U29" s="43" t="str">
        <f aca="false">IF(S29="","",IF(S29&gt;0,"Win",IF(S29&lt;0,"Loss","BE")))</f>
        <v/>
      </c>
      <c r="V29" s="44" t="str">
        <f aca="false">IF(OR($H29="",R29=""),"",IFERROR(R29/(W29-S29),""))</f>
        <v/>
      </c>
      <c r="W29" s="45" t="str">
        <f aca="false">IF($H29="","",Settings!$B$3+SUM($S$2:S29))</f>
        <v/>
      </c>
      <c r="X29" s="45" t="str">
        <f aca="false">IF($H29="","",MAX(Settings!$B$3,MAX($W$2:W29)))</f>
        <v/>
      </c>
      <c r="Y29" s="44" t="str">
        <f aca="false">IF(OR($H29="",X29=""),"",IFERROR((W29-X29)/X29,""))</f>
        <v/>
      </c>
      <c r="Z29" s="35"/>
    </row>
    <row r="30" customFormat="false" ht="15" hidden="false" customHeight="true" outlineLevel="0" collapsed="false">
      <c r="A30" s="34" t="str">
        <f aca="false">IF($H30="","",ROW()-1)</f>
        <v/>
      </c>
      <c r="B30" s="35"/>
      <c r="C30" s="35"/>
      <c r="D30" s="34"/>
      <c r="E30" s="34"/>
      <c r="F30" s="35"/>
      <c r="G30" s="36"/>
      <c r="H30" s="37"/>
      <c r="I30" s="37"/>
      <c r="J30" s="37"/>
      <c r="K30" s="37"/>
      <c r="L30" s="38" t="str">
        <f aca="false">IFERROR(VLOOKUP($C30,Settings!$A$9:$C$28,2,FALSE()),"")</f>
        <v/>
      </c>
      <c r="M30" s="39" t="str">
        <f aca="false">IFERROR(VLOOKUP($C30,Settings!$A$9:$C$28,3,FALSE()),"")</f>
        <v/>
      </c>
      <c r="N30" s="40" t="str">
        <f aca="false">IF(OR($H30="",$I30=""),"",IFERROR(ABS(H30-I30)/L30,""))</f>
        <v/>
      </c>
      <c r="O30" s="40" t="str">
        <f aca="false">IF(OR($H30="",$J30=""),"",IFERROR(ABS(J30-H30)/L30,""))</f>
        <v/>
      </c>
      <c r="P30" s="41" t="str">
        <f aca="false">IF(OR(N30="",O30="",N30=0),"",O30/N30)</f>
        <v/>
      </c>
      <c r="Q30" s="40" t="str">
        <f aca="false">IF(OR($H30="",$K30=""),"",IFERROR(((K30-H30)/L30)*IF($D30="Buy",1,-1),""))</f>
        <v/>
      </c>
      <c r="R30" s="42" t="str">
        <f aca="false">IF(OR(N30="",$G30=""),"",IFERROR(N30*M30*G30,""))</f>
        <v/>
      </c>
      <c r="S30" s="42" t="str">
        <f aca="false">IF(OR(Q30="",$G30=""),"",IFERROR(Q30*M30*G30,""))</f>
        <v/>
      </c>
      <c r="T30" s="41" t="str">
        <f aca="false">IF(OR(S30="",R30="",R30=0),"",S30/R30)</f>
        <v/>
      </c>
      <c r="U30" s="43" t="str">
        <f aca="false">IF(S30="","",IF(S30&gt;0,"Win",IF(S30&lt;0,"Loss","BE")))</f>
        <v/>
      </c>
      <c r="V30" s="44" t="str">
        <f aca="false">IF(OR($H30="",R30=""),"",IFERROR(R30/(W30-S30),""))</f>
        <v/>
      </c>
      <c r="W30" s="45" t="str">
        <f aca="false">IF($H30="","",Settings!$B$3+SUM($S$2:S30))</f>
        <v/>
      </c>
      <c r="X30" s="45" t="str">
        <f aca="false">IF($H30="","",MAX(Settings!$B$3,MAX($W$2:W30)))</f>
        <v/>
      </c>
      <c r="Y30" s="44" t="str">
        <f aca="false">IF(OR($H30="",X30=""),"",IFERROR((W30-X30)/X30,""))</f>
        <v/>
      </c>
      <c r="Z30" s="35"/>
    </row>
    <row r="31" customFormat="false" ht="15" hidden="false" customHeight="true" outlineLevel="0" collapsed="false">
      <c r="A31" s="34" t="str">
        <f aca="false">IF($H31="","",ROW()-1)</f>
        <v/>
      </c>
      <c r="B31" s="35"/>
      <c r="C31" s="35"/>
      <c r="D31" s="34"/>
      <c r="E31" s="34"/>
      <c r="F31" s="35"/>
      <c r="G31" s="36"/>
      <c r="H31" s="37"/>
      <c r="I31" s="37"/>
      <c r="J31" s="37"/>
      <c r="K31" s="37"/>
      <c r="L31" s="38" t="str">
        <f aca="false">IFERROR(VLOOKUP($C31,Settings!$A$9:$C$28,2,FALSE()),"")</f>
        <v/>
      </c>
      <c r="M31" s="39" t="str">
        <f aca="false">IFERROR(VLOOKUP($C31,Settings!$A$9:$C$28,3,FALSE()),"")</f>
        <v/>
      </c>
      <c r="N31" s="40" t="str">
        <f aca="false">IF(OR($H31="",$I31=""),"",IFERROR(ABS(H31-I31)/L31,""))</f>
        <v/>
      </c>
      <c r="O31" s="40" t="str">
        <f aca="false">IF(OR($H31="",$J31=""),"",IFERROR(ABS(J31-H31)/L31,""))</f>
        <v/>
      </c>
      <c r="P31" s="41" t="str">
        <f aca="false">IF(OR(N31="",O31="",N31=0),"",O31/N31)</f>
        <v/>
      </c>
      <c r="Q31" s="40" t="str">
        <f aca="false">IF(OR($H31="",$K31=""),"",IFERROR(((K31-H31)/L31)*IF($D31="Buy",1,-1),""))</f>
        <v/>
      </c>
      <c r="R31" s="42" t="str">
        <f aca="false">IF(OR(N31="",$G31=""),"",IFERROR(N31*M31*G31,""))</f>
        <v/>
      </c>
      <c r="S31" s="42" t="str">
        <f aca="false">IF(OR(Q31="",$G31=""),"",IFERROR(Q31*M31*G31,""))</f>
        <v/>
      </c>
      <c r="T31" s="41" t="str">
        <f aca="false">IF(OR(S31="",R31="",R31=0),"",S31/R31)</f>
        <v/>
      </c>
      <c r="U31" s="43" t="str">
        <f aca="false">IF(S31="","",IF(S31&gt;0,"Win",IF(S31&lt;0,"Loss","BE")))</f>
        <v/>
      </c>
      <c r="V31" s="44" t="str">
        <f aca="false">IF(OR($H31="",R31=""),"",IFERROR(R31/(W31-S31),""))</f>
        <v/>
      </c>
      <c r="W31" s="45" t="str">
        <f aca="false">IF($H31="","",Settings!$B$3+SUM($S$2:S31))</f>
        <v/>
      </c>
      <c r="X31" s="45" t="str">
        <f aca="false">IF($H31="","",MAX(Settings!$B$3,MAX($W$2:W31)))</f>
        <v/>
      </c>
      <c r="Y31" s="44" t="str">
        <f aca="false">IF(OR($H31="",X31=""),"",IFERROR((W31-X31)/X31,""))</f>
        <v/>
      </c>
      <c r="Z31" s="35"/>
    </row>
    <row r="32" customFormat="false" ht="15" hidden="false" customHeight="true" outlineLevel="0" collapsed="false">
      <c r="A32" s="34" t="str">
        <f aca="false">IF($H32="","",ROW()-1)</f>
        <v/>
      </c>
      <c r="B32" s="35"/>
      <c r="C32" s="35"/>
      <c r="D32" s="34"/>
      <c r="E32" s="34"/>
      <c r="F32" s="35"/>
      <c r="G32" s="36"/>
      <c r="H32" s="37"/>
      <c r="I32" s="37"/>
      <c r="J32" s="37"/>
      <c r="K32" s="37"/>
      <c r="L32" s="38" t="str">
        <f aca="false">IFERROR(VLOOKUP($C32,Settings!$A$9:$C$28,2,FALSE()),"")</f>
        <v/>
      </c>
      <c r="M32" s="39" t="str">
        <f aca="false">IFERROR(VLOOKUP($C32,Settings!$A$9:$C$28,3,FALSE()),"")</f>
        <v/>
      </c>
      <c r="N32" s="40" t="str">
        <f aca="false">IF(OR($H32="",$I32=""),"",IFERROR(ABS(H32-I32)/L32,""))</f>
        <v/>
      </c>
      <c r="O32" s="40" t="str">
        <f aca="false">IF(OR($H32="",$J32=""),"",IFERROR(ABS(J32-H32)/L32,""))</f>
        <v/>
      </c>
      <c r="P32" s="41" t="str">
        <f aca="false">IF(OR(N32="",O32="",N32=0),"",O32/N32)</f>
        <v/>
      </c>
      <c r="Q32" s="40" t="str">
        <f aca="false">IF(OR($H32="",$K32=""),"",IFERROR(((K32-H32)/L32)*IF($D32="Buy",1,-1),""))</f>
        <v/>
      </c>
      <c r="R32" s="42" t="str">
        <f aca="false">IF(OR(N32="",$G32=""),"",IFERROR(N32*M32*G32,""))</f>
        <v/>
      </c>
      <c r="S32" s="42" t="str">
        <f aca="false">IF(OR(Q32="",$G32=""),"",IFERROR(Q32*M32*G32,""))</f>
        <v/>
      </c>
      <c r="T32" s="41" t="str">
        <f aca="false">IF(OR(S32="",R32="",R32=0),"",S32/R32)</f>
        <v/>
      </c>
      <c r="U32" s="43" t="str">
        <f aca="false">IF(S32="","",IF(S32&gt;0,"Win",IF(S32&lt;0,"Loss","BE")))</f>
        <v/>
      </c>
      <c r="V32" s="44" t="str">
        <f aca="false">IF(OR($H32="",R32=""),"",IFERROR(R32/(W32-S32),""))</f>
        <v/>
      </c>
      <c r="W32" s="45" t="str">
        <f aca="false">IF($H32="","",Settings!$B$3+SUM($S$2:S32))</f>
        <v/>
      </c>
      <c r="X32" s="45" t="str">
        <f aca="false">IF($H32="","",MAX(Settings!$B$3,MAX($W$2:W32)))</f>
        <v/>
      </c>
      <c r="Y32" s="44" t="str">
        <f aca="false">IF(OR($H32="",X32=""),"",IFERROR((W32-X32)/X32,""))</f>
        <v/>
      </c>
      <c r="Z32" s="35"/>
    </row>
    <row r="33" customFormat="false" ht="15" hidden="false" customHeight="true" outlineLevel="0" collapsed="false">
      <c r="A33" s="34" t="str">
        <f aca="false">IF($H33="","",ROW()-1)</f>
        <v/>
      </c>
      <c r="B33" s="35"/>
      <c r="C33" s="35"/>
      <c r="D33" s="34"/>
      <c r="E33" s="34"/>
      <c r="F33" s="35"/>
      <c r="G33" s="36"/>
      <c r="H33" s="37"/>
      <c r="I33" s="37"/>
      <c r="J33" s="37"/>
      <c r="K33" s="37"/>
      <c r="L33" s="38" t="str">
        <f aca="false">IFERROR(VLOOKUP($C33,Settings!$A$9:$C$28,2,FALSE()),"")</f>
        <v/>
      </c>
      <c r="M33" s="39" t="str">
        <f aca="false">IFERROR(VLOOKUP($C33,Settings!$A$9:$C$28,3,FALSE()),"")</f>
        <v/>
      </c>
      <c r="N33" s="40" t="str">
        <f aca="false">IF(OR($H33="",$I33=""),"",IFERROR(ABS(H33-I33)/L33,""))</f>
        <v/>
      </c>
      <c r="O33" s="40" t="str">
        <f aca="false">IF(OR($H33="",$J33=""),"",IFERROR(ABS(J33-H33)/L33,""))</f>
        <v/>
      </c>
      <c r="P33" s="41" t="str">
        <f aca="false">IF(OR(N33="",O33="",N33=0),"",O33/N33)</f>
        <v/>
      </c>
      <c r="Q33" s="40" t="str">
        <f aca="false">IF(OR($H33="",$K33=""),"",IFERROR(((K33-H33)/L33)*IF($D33="Buy",1,-1),""))</f>
        <v/>
      </c>
      <c r="R33" s="42" t="str">
        <f aca="false">IF(OR(N33="",$G33=""),"",IFERROR(N33*M33*G33,""))</f>
        <v/>
      </c>
      <c r="S33" s="42" t="str">
        <f aca="false">IF(OR(Q33="",$G33=""),"",IFERROR(Q33*M33*G33,""))</f>
        <v/>
      </c>
      <c r="T33" s="41" t="str">
        <f aca="false">IF(OR(S33="",R33="",R33=0),"",S33/R33)</f>
        <v/>
      </c>
      <c r="U33" s="43" t="str">
        <f aca="false">IF(S33="","",IF(S33&gt;0,"Win",IF(S33&lt;0,"Loss","BE")))</f>
        <v/>
      </c>
      <c r="V33" s="44" t="str">
        <f aca="false">IF(OR($H33="",R33=""),"",IFERROR(R33/(W33-S33),""))</f>
        <v/>
      </c>
      <c r="W33" s="45" t="str">
        <f aca="false">IF($H33="","",Settings!$B$3+SUM($S$2:S33))</f>
        <v/>
      </c>
      <c r="X33" s="45" t="str">
        <f aca="false">IF($H33="","",MAX(Settings!$B$3,MAX($W$2:W33)))</f>
        <v/>
      </c>
      <c r="Y33" s="44" t="str">
        <f aca="false">IF(OR($H33="",X33=""),"",IFERROR((W33-X33)/X33,""))</f>
        <v/>
      </c>
      <c r="Z33" s="35"/>
    </row>
    <row r="34" customFormat="false" ht="15" hidden="false" customHeight="true" outlineLevel="0" collapsed="false">
      <c r="A34" s="34" t="str">
        <f aca="false">IF($H34="","",ROW()-1)</f>
        <v/>
      </c>
      <c r="B34" s="35"/>
      <c r="C34" s="35"/>
      <c r="D34" s="34"/>
      <c r="E34" s="34"/>
      <c r="F34" s="35"/>
      <c r="G34" s="36"/>
      <c r="H34" s="37"/>
      <c r="I34" s="37"/>
      <c r="J34" s="37"/>
      <c r="K34" s="37"/>
      <c r="L34" s="38" t="str">
        <f aca="false">IFERROR(VLOOKUP($C34,Settings!$A$9:$C$28,2,FALSE()),"")</f>
        <v/>
      </c>
      <c r="M34" s="39" t="str">
        <f aca="false">IFERROR(VLOOKUP($C34,Settings!$A$9:$C$28,3,FALSE()),"")</f>
        <v/>
      </c>
      <c r="N34" s="40" t="str">
        <f aca="false">IF(OR($H34="",$I34=""),"",IFERROR(ABS(H34-I34)/L34,""))</f>
        <v/>
      </c>
      <c r="O34" s="40" t="str">
        <f aca="false">IF(OR($H34="",$J34=""),"",IFERROR(ABS(J34-H34)/L34,""))</f>
        <v/>
      </c>
      <c r="P34" s="41" t="str">
        <f aca="false">IF(OR(N34="",O34="",N34=0),"",O34/N34)</f>
        <v/>
      </c>
      <c r="Q34" s="40" t="str">
        <f aca="false">IF(OR($H34="",$K34=""),"",IFERROR(((K34-H34)/L34)*IF($D34="Buy",1,-1),""))</f>
        <v/>
      </c>
      <c r="R34" s="42" t="str">
        <f aca="false">IF(OR(N34="",$G34=""),"",IFERROR(N34*M34*G34,""))</f>
        <v/>
      </c>
      <c r="S34" s="42" t="str">
        <f aca="false">IF(OR(Q34="",$G34=""),"",IFERROR(Q34*M34*G34,""))</f>
        <v/>
      </c>
      <c r="T34" s="41" t="str">
        <f aca="false">IF(OR(S34="",R34="",R34=0),"",S34/R34)</f>
        <v/>
      </c>
      <c r="U34" s="43" t="str">
        <f aca="false">IF(S34="","",IF(S34&gt;0,"Win",IF(S34&lt;0,"Loss","BE")))</f>
        <v/>
      </c>
      <c r="V34" s="44" t="str">
        <f aca="false">IF(OR($H34="",R34=""),"",IFERROR(R34/(W34-S34),""))</f>
        <v/>
      </c>
      <c r="W34" s="45" t="str">
        <f aca="false">IF($H34="","",Settings!$B$3+SUM($S$2:S34))</f>
        <v/>
      </c>
      <c r="X34" s="45" t="str">
        <f aca="false">IF($H34="","",MAX(Settings!$B$3,MAX($W$2:W34)))</f>
        <v/>
      </c>
      <c r="Y34" s="44" t="str">
        <f aca="false">IF(OR($H34="",X34=""),"",IFERROR((W34-X34)/X34,""))</f>
        <v/>
      </c>
      <c r="Z34" s="35"/>
    </row>
    <row r="35" customFormat="false" ht="15" hidden="false" customHeight="true" outlineLevel="0" collapsed="false">
      <c r="A35" s="34" t="str">
        <f aca="false">IF($H35="","",ROW()-1)</f>
        <v/>
      </c>
      <c r="B35" s="35"/>
      <c r="C35" s="35"/>
      <c r="D35" s="34"/>
      <c r="E35" s="34"/>
      <c r="F35" s="35"/>
      <c r="G35" s="36"/>
      <c r="H35" s="37"/>
      <c r="I35" s="37"/>
      <c r="J35" s="37"/>
      <c r="K35" s="37"/>
      <c r="L35" s="38" t="str">
        <f aca="false">IFERROR(VLOOKUP($C35,Settings!$A$9:$C$28,2,FALSE()),"")</f>
        <v/>
      </c>
      <c r="M35" s="39" t="str">
        <f aca="false">IFERROR(VLOOKUP($C35,Settings!$A$9:$C$28,3,FALSE()),"")</f>
        <v/>
      </c>
      <c r="N35" s="40" t="str">
        <f aca="false">IF(OR($H35="",$I35=""),"",IFERROR(ABS(H35-I35)/L35,""))</f>
        <v/>
      </c>
      <c r="O35" s="40" t="str">
        <f aca="false">IF(OR($H35="",$J35=""),"",IFERROR(ABS(J35-H35)/L35,""))</f>
        <v/>
      </c>
      <c r="P35" s="41" t="str">
        <f aca="false">IF(OR(N35="",O35="",N35=0),"",O35/N35)</f>
        <v/>
      </c>
      <c r="Q35" s="40" t="str">
        <f aca="false">IF(OR($H35="",$K35=""),"",IFERROR(((K35-H35)/L35)*IF($D35="Buy",1,-1),""))</f>
        <v/>
      </c>
      <c r="R35" s="42" t="str">
        <f aca="false">IF(OR(N35="",$G35=""),"",IFERROR(N35*M35*G35,""))</f>
        <v/>
      </c>
      <c r="S35" s="42" t="str">
        <f aca="false">IF(OR(Q35="",$G35=""),"",IFERROR(Q35*M35*G35,""))</f>
        <v/>
      </c>
      <c r="T35" s="41" t="str">
        <f aca="false">IF(OR(S35="",R35="",R35=0),"",S35/R35)</f>
        <v/>
      </c>
      <c r="U35" s="43" t="str">
        <f aca="false">IF(S35="","",IF(S35&gt;0,"Win",IF(S35&lt;0,"Loss","BE")))</f>
        <v/>
      </c>
      <c r="V35" s="44" t="str">
        <f aca="false">IF(OR($H35="",R35=""),"",IFERROR(R35/(W35-S35),""))</f>
        <v/>
      </c>
      <c r="W35" s="45" t="str">
        <f aca="false">IF($H35="","",Settings!$B$3+SUM($S$2:S35))</f>
        <v/>
      </c>
      <c r="X35" s="45" t="str">
        <f aca="false">IF($H35="","",MAX(Settings!$B$3,MAX($W$2:W35)))</f>
        <v/>
      </c>
      <c r="Y35" s="44" t="str">
        <f aca="false">IF(OR($H35="",X35=""),"",IFERROR((W35-X35)/X35,""))</f>
        <v/>
      </c>
      <c r="Z35" s="35"/>
    </row>
    <row r="36" customFormat="false" ht="15" hidden="false" customHeight="true" outlineLevel="0" collapsed="false">
      <c r="A36" s="34" t="str">
        <f aca="false">IF($H36="","",ROW()-1)</f>
        <v/>
      </c>
      <c r="B36" s="35"/>
      <c r="C36" s="35"/>
      <c r="D36" s="34"/>
      <c r="E36" s="34"/>
      <c r="F36" s="35"/>
      <c r="G36" s="36"/>
      <c r="H36" s="37"/>
      <c r="I36" s="37"/>
      <c r="J36" s="37"/>
      <c r="K36" s="37"/>
      <c r="L36" s="38" t="str">
        <f aca="false">IFERROR(VLOOKUP($C36,Settings!$A$9:$C$28,2,FALSE()),"")</f>
        <v/>
      </c>
      <c r="M36" s="39" t="str">
        <f aca="false">IFERROR(VLOOKUP($C36,Settings!$A$9:$C$28,3,FALSE()),"")</f>
        <v/>
      </c>
      <c r="N36" s="40" t="str">
        <f aca="false">IF(OR($H36="",$I36=""),"",IFERROR(ABS(H36-I36)/L36,""))</f>
        <v/>
      </c>
      <c r="O36" s="40" t="str">
        <f aca="false">IF(OR($H36="",$J36=""),"",IFERROR(ABS(J36-H36)/L36,""))</f>
        <v/>
      </c>
      <c r="P36" s="41" t="str">
        <f aca="false">IF(OR(N36="",O36="",N36=0),"",O36/N36)</f>
        <v/>
      </c>
      <c r="Q36" s="40" t="str">
        <f aca="false">IF(OR($H36="",$K36=""),"",IFERROR(((K36-H36)/L36)*IF($D36="Buy",1,-1),""))</f>
        <v/>
      </c>
      <c r="R36" s="42" t="str">
        <f aca="false">IF(OR(N36="",$G36=""),"",IFERROR(N36*M36*G36,""))</f>
        <v/>
      </c>
      <c r="S36" s="42" t="str">
        <f aca="false">IF(OR(Q36="",$G36=""),"",IFERROR(Q36*M36*G36,""))</f>
        <v/>
      </c>
      <c r="T36" s="41" t="str">
        <f aca="false">IF(OR(S36="",R36="",R36=0),"",S36/R36)</f>
        <v/>
      </c>
      <c r="U36" s="43" t="str">
        <f aca="false">IF(S36="","",IF(S36&gt;0,"Win",IF(S36&lt;0,"Loss","BE")))</f>
        <v/>
      </c>
      <c r="V36" s="44" t="str">
        <f aca="false">IF(OR($H36="",R36=""),"",IFERROR(R36/(W36-S36),""))</f>
        <v/>
      </c>
      <c r="W36" s="45" t="str">
        <f aca="false">IF($H36="","",Settings!$B$3+SUM($S$2:S36))</f>
        <v/>
      </c>
      <c r="X36" s="45" t="str">
        <f aca="false">IF($H36="","",MAX(Settings!$B$3,MAX($W$2:W36)))</f>
        <v/>
      </c>
      <c r="Y36" s="44" t="str">
        <f aca="false">IF(OR($H36="",X36=""),"",IFERROR((W36-X36)/X36,""))</f>
        <v/>
      </c>
      <c r="Z36" s="35"/>
    </row>
    <row r="37" customFormat="false" ht="15" hidden="false" customHeight="true" outlineLevel="0" collapsed="false">
      <c r="A37" s="34" t="str">
        <f aca="false">IF($H37="","",ROW()-1)</f>
        <v/>
      </c>
      <c r="B37" s="35"/>
      <c r="C37" s="35"/>
      <c r="D37" s="34"/>
      <c r="E37" s="34"/>
      <c r="F37" s="35"/>
      <c r="G37" s="36"/>
      <c r="H37" s="37"/>
      <c r="I37" s="37"/>
      <c r="J37" s="37"/>
      <c r="K37" s="37"/>
      <c r="L37" s="38" t="str">
        <f aca="false">IFERROR(VLOOKUP($C37,Settings!$A$9:$C$28,2,FALSE()),"")</f>
        <v/>
      </c>
      <c r="M37" s="39" t="str">
        <f aca="false">IFERROR(VLOOKUP($C37,Settings!$A$9:$C$28,3,FALSE()),"")</f>
        <v/>
      </c>
      <c r="N37" s="40" t="str">
        <f aca="false">IF(OR($H37="",$I37=""),"",IFERROR(ABS(H37-I37)/L37,""))</f>
        <v/>
      </c>
      <c r="O37" s="40" t="str">
        <f aca="false">IF(OR($H37="",$J37=""),"",IFERROR(ABS(J37-H37)/L37,""))</f>
        <v/>
      </c>
      <c r="P37" s="41" t="str">
        <f aca="false">IF(OR(N37="",O37="",N37=0),"",O37/N37)</f>
        <v/>
      </c>
      <c r="Q37" s="40" t="str">
        <f aca="false">IF(OR($H37="",$K37=""),"",IFERROR(((K37-H37)/L37)*IF($D37="Buy",1,-1),""))</f>
        <v/>
      </c>
      <c r="R37" s="42" t="str">
        <f aca="false">IF(OR(N37="",$G37=""),"",IFERROR(N37*M37*G37,""))</f>
        <v/>
      </c>
      <c r="S37" s="42" t="str">
        <f aca="false">IF(OR(Q37="",$G37=""),"",IFERROR(Q37*M37*G37,""))</f>
        <v/>
      </c>
      <c r="T37" s="41" t="str">
        <f aca="false">IF(OR(S37="",R37="",R37=0),"",S37/R37)</f>
        <v/>
      </c>
      <c r="U37" s="43" t="str">
        <f aca="false">IF(S37="","",IF(S37&gt;0,"Win",IF(S37&lt;0,"Loss","BE")))</f>
        <v/>
      </c>
      <c r="V37" s="44" t="str">
        <f aca="false">IF(OR($H37="",R37=""),"",IFERROR(R37/(W37-S37),""))</f>
        <v/>
      </c>
      <c r="W37" s="45" t="str">
        <f aca="false">IF($H37="","",Settings!$B$3+SUM($S$2:S37))</f>
        <v/>
      </c>
      <c r="X37" s="45" t="str">
        <f aca="false">IF($H37="","",MAX(Settings!$B$3,MAX($W$2:W37)))</f>
        <v/>
      </c>
      <c r="Y37" s="44" t="str">
        <f aca="false">IF(OR($H37="",X37=""),"",IFERROR((W37-X37)/X37,""))</f>
        <v/>
      </c>
      <c r="Z37" s="35"/>
    </row>
    <row r="38" customFormat="false" ht="15" hidden="false" customHeight="true" outlineLevel="0" collapsed="false">
      <c r="A38" s="34" t="str">
        <f aca="false">IF($H38="","",ROW()-1)</f>
        <v/>
      </c>
      <c r="B38" s="35"/>
      <c r="C38" s="35"/>
      <c r="D38" s="34"/>
      <c r="E38" s="34"/>
      <c r="F38" s="35"/>
      <c r="G38" s="36"/>
      <c r="H38" s="37"/>
      <c r="I38" s="37"/>
      <c r="J38" s="37"/>
      <c r="K38" s="37"/>
      <c r="L38" s="38" t="str">
        <f aca="false">IFERROR(VLOOKUP($C38,Settings!$A$9:$C$28,2,FALSE()),"")</f>
        <v/>
      </c>
      <c r="M38" s="39" t="str">
        <f aca="false">IFERROR(VLOOKUP($C38,Settings!$A$9:$C$28,3,FALSE()),"")</f>
        <v/>
      </c>
      <c r="N38" s="40" t="str">
        <f aca="false">IF(OR($H38="",$I38=""),"",IFERROR(ABS(H38-I38)/L38,""))</f>
        <v/>
      </c>
      <c r="O38" s="40" t="str">
        <f aca="false">IF(OR($H38="",$J38=""),"",IFERROR(ABS(J38-H38)/L38,""))</f>
        <v/>
      </c>
      <c r="P38" s="41" t="str">
        <f aca="false">IF(OR(N38="",O38="",N38=0),"",O38/N38)</f>
        <v/>
      </c>
      <c r="Q38" s="40" t="str">
        <f aca="false">IF(OR($H38="",$K38=""),"",IFERROR(((K38-H38)/L38)*IF($D38="Buy",1,-1),""))</f>
        <v/>
      </c>
      <c r="R38" s="42" t="str">
        <f aca="false">IF(OR(N38="",$G38=""),"",IFERROR(N38*M38*G38,""))</f>
        <v/>
      </c>
      <c r="S38" s="42" t="str">
        <f aca="false">IF(OR(Q38="",$G38=""),"",IFERROR(Q38*M38*G38,""))</f>
        <v/>
      </c>
      <c r="T38" s="41" t="str">
        <f aca="false">IF(OR(S38="",R38="",R38=0),"",S38/R38)</f>
        <v/>
      </c>
      <c r="U38" s="43" t="str">
        <f aca="false">IF(S38="","",IF(S38&gt;0,"Win",IF(S38&lt;0,"Loss","BE")))</f>
        <v/>
      </c>
      <c r="V38" s="44" t="str">
        <f aca="false">IF(OR($H38="",R38=""),"",IFERROR(R38/(W38-S38),""))</f>
        <v/>
      </c>
      <c r="W38" s="45" t="str">
        <f aca="false">IF($H38="","",Settings!$B$3+SUM($S$2:S38))</f>
        <v/>
      </c>
      <c r="X38" s="45" t="str">
        <f aca="false">IF($H38="","",MAX(Settings!$B$3,MAX($W$2:W38)))</f>
        <v/>
      </c>
      <c r="Y38" s="44" t="str">
        <f aca="false">IF(OR($H38="",X38=""),"",IFERROR((W38-X38)/X38,""))</f>
        <v/>
      </c>
      <c r="Z38" s="35"/>
    </row>
    <row r="39" customFormat="false" ht="15" hidden="false" customHeight="true" outlineLevel="0" collapsed="false">
      <c r="A39" s="34" t="str">
        <f aca="false">IF($H39="","",ROW()-1)</f>
        <v/>
      </c>
      <c r="B39" s="35"/>
      <c r="C39" s="35"/>
      <c r="D39" s="34"/>
      <c r="E39" s="34"/>
      <c r="F39" s="35"/>
      <c r="G39" s="36"/>
      <c r="H39" s="37"/>
      <c r="I39" s="37"/>
      <c r="J39" s="37"/>
      <c r="K39" s="37"/>
      <c r="L39" s="38" t="str">
        <f aca="false">IFERROR(VLOOKUP($C39,Settings!$A$9:$C$28,2,FALSE()),"")</f>
        <v/>
      </c>
      <c r="M39" s="39" t="str">
        <f aca="false">IFERROR(VLOOKUP($C39,Settings!$A$9:$C$28,3,FALSE()),"")</f>
        <v/>
      </c>
      <c r="N39" s="40" t="str">
        <f aca="false">IF(OR($H39="",$I39=""),"",IFERROR(ABS(H39-I39)/L39,""))</f>
        <v/>
      </c>
      <c r="O39" s="40" t="str">
        <f aca="false">IF(OR($H39="",$J39=""),"",IFERROR(ABS(J39-H39)/L39,""))</f>
        <v/>
      </c>
      <c r="P39" s="41" t="str">
        <f aca="false">IF(OR(N39="",O39="",N39=0),"",O39/N39)</f>
        <v/>
      </c>
      <c r="Q39" s="40" t="str">
        <f aca="false">IF(OR($H39="",$K39=""),"",IFERROR(((K39-H39)/L39)*IF($D39="Buy",1,-1),""))</f>
        <v/>
      </c>
      <c r="R39" s="42" t="str">
        <f aca="false">IF(OR(N39="",$G39=""),"",IFERROR(N39*M39*G39,""))</f>
        <v/>
      </c>
      <c r="S39" s="42" t="str">
        <f aca="false">IF(OR(Q39="",$G39=""),"",IFERROR(Q39*M39*G39,""))</f>
        <v/>
      </c>
      <c r="T39" s="41" t="str">
        <f aca="false">IF(OR(S39="",R39="",R39=0),"",S39/R39)</f>
        <v/>
      </c>
      <c r="U39" s="43" t="str">
        <f aca="false">IF(S39="","",IF(S39&gt;0,"Win",IF(S39&lt;0,"Loss","BE")))</f>
        <v/>
      </c>
      <c r="V39" s="44" t="str">
        <f aca="false">IF(OR($H39="",R39=""),"",IFERROR(R39/(W39-S39),""))</f>
        <v/>
      </c>
      <c r="W39" s="45" t="str">
        <f aca="false">IF($H39="","",Settings!$B$3+SUM($S$2:S39))</f>
        <v/>
      </c>
      <c r="X39" s="45" t="str">
        <f aca="false">IF($H39="","",MAX(Settings!$B$3,MAX($W$2:W39)))</f>
        <v/>
      </c>
      <c r="Y39" s="44" t="str">
        <f aca="false">IF(OR($H39="",X39=""),"",IFERROR((W39-X39)/X39,""))</f>
        <v/>
      </c>
      <c r="Z39" s="35"/>
    </row>
    <row r="40" customFormat="false" ht="15" hidden="false" customHeight="true" outlineLevel="0" collapsed="false">
      <c r="A40" s="34" t="str">
        <f aca="false">IF($H40="","",ROW()-1)</f>
        <v/>
      </c>
      <c r="B40" s="35"/>
      <c r="C40" s="35"/>
      <c r="D40" s="34"/>
      <c r="E40" s="34"/>
      <c r="F40" s="35"/>
      <c r="G40" s="36"/>
      <c r="H40" s="37"/>
      <c r="I40" s="37"/>
      <c r="J40" s="37"/>
      <c r="K40" s="37"/>
      <c r="L40" s="38" t="str">
        <f aca="false">IFERROR(VLOOKUP($C40,Settings!$A$9:$C$28,2,FALSE()),"")</f>
        <v/>
      </c>
      <c r="M40" s="39" t="str">
        <f aca="false">IFERROR(VLOOKUP($C40,Settings!$A$9:$C$28,3,FALSE()),"")</f>
        <v/>
      </c>
      <c r="N40" s="40" t="str">
        <f aca="false">IF(OR($H40="",$I40=""),"",IFERROR(ABS(H40-I40)/L40,""))</f>
        <v/>
      </c>
      <c r="O40" s="40" t="str">
        <f aca="false">IF(OR($H40="",$J40=""),"",IFERROR(ABS(J40-H40)/L40,""))</f>
        <v/>
      </c>
      <c r="P40" s="41" t="str">
        <f aca="false">IF(OR(N40="",O40="",N40=0),"",O40/N40)</f>
        <v/>
      </c>
      <c r="Q40" s="40" t="str">
        <f aca="false">IF(OR($H40="",$K40=""),"",IFERROR(((K40-H40)/L40)*IF($D40="Buy",1,-1),""))</f>
        <v/>
      </c>
      <c r="R40" s="42" t="str">
        <f aca="false">IF(OR(N40="",$G40=""),"",IFERROR(N40*M40*G40,""))</f>
        <v/>
      </c>
      <c r="S40" s="42" t="str">
        <f aca="false">IF(OR(Q40="",$G40=""),"",IFERROR(Q40*M40*G40,""))</f>
        <v/>
      </c>
      <c r="T40" s="41" t="str">
        <f aca="false">IF(OR(S40="",R40="",R40=0),"",S40/R40)</f>
        <v/>
      </c>
      <c r="U40" s="43" t="str">
        <f aca="false">IF(S40="","",IF(S40&gt;0,"Win",IF(S40&lt;0,"Loss","BE")))</f>
        <v/>
      </c>
      <c r="V40" s="44" t="str">
        <f aca="false">IF(OR($H40="",R40=""),"",IFERROR(R40/(W40-S40),""))</f>
        <v/>
      </c>
      <c r="W40" s="45" t="str">
        <f aca="false">IF($H40="","",Settings!$B$3+SUM($S$2:S40))</f>
        <v/>
      </c>
      <c r="X40" s="45" t="str">
        <f aca="false">IF($H40="","",MAX(Settings!$B$3,MAX($W$2:W40)))</f>
        <v/>
      </c>
      <c r="Y40" s="44" t="str">
        <f aca="false">IF(OR($H40="",X40=""),"",IFERROR((W40-X40)/X40,""))</f>
        <v/>
      </c>
      <c r="Z40" s="35"/>
    </row>
    <row r="41" customFormat="false" ht="15" hidden="false" customHeight="true" outlineLevel="0" collapsed="false">
      <c r="A41" s="34" t="str">
        <f aca="false">IF($H41="","",ROW()-1)</f>
        <v/>
      </c>
      <c r="B41" s="35"/>
      <c r="C41" s="35"/>
      <c r="D41" s="34"/>
      <c r="E41" s="34"/>
      <c r="F41" s="35"/>
      <c r="G41" s="36"/>
      <c r="H41" s="37"/>
      <c r="I41" s="37"/>
      <c r="J41" s="37"/>
      <c r="K41" s="37"/>
      <c r="L41" s="38" t="str">
        <f aca="false">IFERROR(VLOOKUP($C41,Settings!$A$9:$C$28,2,FALSE()),"")</f>
        <v/>
      </c>
      <c r="M41" s="39" t="str">
        <f aca="false">IFERROR(VLOOKUP($C41,Settings!$A$9:$C$28,3,FALSE()),"")</f>
        <v/>
      </c>
      <c r="N41" s="40" t="str">
        <f aca="false">IF(OR($H41="",$I41=""),"",IFERROR(ABS(H41-I41)/L41,""))</f>
        <v/>
      </c>
      <c r="O41" s="40" t="str">
        <f aca="false">IF(OR($H41="",$J41=""),"",IFERROR(ABS(J41-H41)/L41,""))</f>
        <v/>
      </c>
      <c r="P41" s="41" t="str">
        <f aca="false">IF(OR(N41="",O41="",N41=0),"",O41/N41)</f>
        <v/>
      </c>
      <c r="Q41" s="40" t="str">
        <f aca="false">IF(OR($H41="",$K41=""),"",IFERROR(((K41-H41)/L41)*IF($D41="Buy",1,-1),""))</f>
        <v/>
      </c>
      <c r="R41" s="42" t="str">
        <f aca="false">IF(OR(N41="",$G41=""),"",IFERROR(N41*M41*G41,""))</f>
        <v/>
      </c>
      <c r="S41" s="42" t="str">
        <f aca="false">IF(OR(Q41="",$G41=""),"",IFERROR(Q41*M41*G41,""))</f>
        <v/>
      </c>
      <c r="T41" s="41" t="str">
        <f aca="false">IF(OR(S41="",R41="",R41=0),"",S41/R41)</f>
        <v/>
      </c>
      <c r="U41" s="43" t="str">
        <f aca="false">IF(S41="","",IF(S41&gt;0,"Win",IF(S41&lt;0,"Loss","BE")))</f>
        <v/>
      </c>
      <c r="V41" s="44" t="str">
        <f aca="false">IF(OR($H41="",R41=""),"",IFERROR(R41/(W41-S41),""))</f>
        <v/>
      </c>
      <c r="W41" s="45" t="str">
        <f aca="false">IF($H41="","",Settings!$B$3+SUM($S$2:S41))</f>
        <v/>
      </c>
      <c r="X41" s="45" t="str">
        <f aca="false">IF($H41="","",MAX(Settings!$B$3,MAX($W$2:W41)))</f>
        <v/>
      </c>
      <c r="Y41" s="44" t="str">
        <f aca="false">IF(OR($H41="",X41=""),"",IFERROR((W41-X41)/X41,""))</f>
        <v/>
      </c>
      <c r="Z41" s="35"/>
    </row>
    <row r="42" customFormat="false" ht="15" hidden="false" customHeight="true" outlineLevel="0" collapsed="false">
      <c r="A42" s="34" t="str">
        <f aca="false">IF($H42="","",ROW()-1)</f>
        <v/>
      </c>
      <c r="B42" s="35"/>
      <c r="C42" s="35"/>
      <c r="D42" s="34"/>
      <c r="E42" s="34"/>
      <c r="F42" s="35"/>
      <c r="G42" s="36"/>
      <c r="H42" s="37"/>
      <c r="I42" s="37"/>
      <c r="J42" s="37"/>
      <c r="K42" s="37"/>
      <c r="L42" s="38" t="str">
        <f aca="false">IFERROR(VLOOKUP($C42,Settings!$A$9:$C$28,2,FALSE()),"")</f>
        <v/>
      </c>
      <c r="M42" s="39" t="str">
        <f aca="false">IFERROR(VLOOKUP($C42,Settings!$A$9:$C$28,3,FALSE()),"")</f>
        <v/>
      </c>
      <c r="N42" s="40" t="str">
        <f aca="false">IF(OR($H42="",$I42=""),"",IFERROR(ABS(H42-I42)/L42,""))</f>
        <v/>
      </c>
      <c r="O42" s="40" t="str">
        <f aca="false">IF(OR($H42="",$J42=""),"",IFERROR(ABS(J42-H42)/L42,""))</f>
        <v/>
      </c>
      <c r="P42" s="41" t="str">
        <f aca="false">IF(OR(N42="",O42="",N42=0),"",O42/N42)</f>
        <v/>
      </c>
      <c r="Q42" s="40" t="str">
        <f aca="false">IF(OR($H42="",$K42=""),"",IFERROR(((K42-H42)/L42)*IF($D42="Buy",1,-1),""))</f>
        <v/>
      </c>
      <c r="R42" s="42" t="str">
        <f aca="false">IF(OR(N42="",$G42=""),"",IFERROR(N42*M42*G42,""))</f>
        <v/>
      </c>
      <c r="S42" s="42" t="str">
        <f aca="false">IF(OR(Q42="",$G42=""),"",IFERROR(Q42*M42*G42,""))</f>
        <v/>
      </c>
      <c r="T42" s="41" t="str">
        <f aca="false">IF(OR(S42="",R42="",R42=0),"",S42/R42)</f>
        <v/>
      </c>
      <c r="U42" s="43" t="str">
        <f aca="false">IF(S42="","",IF(S42&gt;0,"Win",IF(S42&lt;0,"Loss","BE")))</f>
        <v/>
      </c>
      <c r="V42" s="44" t="str">
        <f aca="false">IF(OR($H42="",R42=""),"",IFERROR(R42/(W42-S42),""))</f>
        <v/>
      </c>
      <c r="W42" s="45" t="str">
        <f aca="false">IF($H42="","",Settings!$B$3+SUM($S$2:S42))</f>
        <v/>
      </c>
      <c r="X42" s="45" t="str">
        <f aca="false">IF($H42="","",MAX(Settings!$B$3,MAX($W$2:W42)))</f>
        <v/>
      </c>
      <c r="Y42" s="44" t="str">
        <f aca="false">IF(OR($H42="",X42=""),"",IFERROR((W42-X42)/X42,""))</f>
        <v/>
      </c>
      <c r="Z42" s="35"/>
    </row>
    <row r="43" customFormat="false" ht="15" hidden="false" customHeight="true" outlineLevel="0" collapsed="false">
      <c r="A43" s="34" t="str">
        <f aca="false">IF($H43="","",ROW()-1)</f>
        <v/>
      </c>
      <c r="B43" s="35"/>
      <c r="C43" s="35"/>
      <c r="D43" s="34"/>
      <c r="E43" s="34"/>
      <c r="F43" s="35"/>
      <c r="G43" s="36"/>
      <c r="H43" s="37"/>
      <c r="I43" s="37"/>
      <c r="J43" s="37"/>
      <c r="K43" s="37"/>
      <c r="L43" s="38" t="str">
        <f aca="false">IFERROR(VLOOKUP($C43,Settings!$A$9:$C$28,2,FALSE()),"")</f>
        <v/>
      </c>
      <c r="M43" s="39" t="str">
        <f aca="false">IFERROR(VLOOKUP($C43,Settings!$A$9:$C$28,3,FALSE()),"")</f>
        <v/>
      </c>
      <c r="N43" s="40" t="str">
        <f aca="false">IF(OR($H43="",$I43=""),"",IFERROR(ABS(H43-I43)/L43,""))</f>
        <v/>
      </c>
      <c r="O43" s="40" t="str">
        <f aca="false">IF(OR($H43="",$J43=""),"",IFERROR(ABS(J43-H43)/L43,""))</f>
        <v/>
      </c>
      <c r="P43" s="41" t="str">
        <f aca="false">IF(OR(N43="",O43="",N43=0),"",O43/N43)</f>
        <v/>
      </c>
      <c r="Q43" s="40" t="str">
        <f aca="false">IF(OR($H43="",$K43=""),"",IFERROR(((K43-H43)/L43)*IF($D43="Buy",1,-1),""))</f>
        <v/>
      </c>
      <c r="R43" s="42" t="str">
        <f aca="false">IF(OR(N43="",$G43=""),"",IFERROR(N43*M43*G43,""))</f>
        <v/>
      </c>
      <c r="S43" s="42" t="str">
        <f aca="false">IF(OR(Q43="",$G43=""),"",IFERROR(Q43*M43*G43,""))</f>
        <v/>
      </c>
      <c r="T43" s="41" t="str">
        <f aca="false">IF(OR(S43="",R43="",R43=0),"",S43/R43)</f>
        <v/>
      </c>
      <c r="U43" s="43" t="str">
        <f aca="false">IF(S43="","",IF(S43&gt;0,"Win",IF(S43&lt;0,"Loss","BE")))</f>
        <v/>
      </c>
      <c r="V43" s="44" t="str">
        <f aca="false">IF(OR($H43="",R43=""),"",IFERROR(R43/(W43-S43),""))</f>
        <v/>
      </c>
      <c r="W43" s="45" t="str">
        <f aca="false">IF($H43="","",Settings!$B$3+SUM($S$2:S43))</f>
        <v/>
      </c>
      <c r="X43" s="45" t="str">
        <f aca="false">IF($H43="","",MAX(Settings!$B$3,MAX($W$2:W43)))</f>
        <v/>
      </c>
      <c r="Y43" s="44" t="str">
        <f aca="false">IF(OR($H43="",X43=""),"",IFERROR((W43-X43)/X43,""))</f>
        <v/>
      </c>
      <c r="Z43" s="35"/>
    </row>
    <row r="44" customFormat="false" ht="15" hidden="false" customHeight="true" outlineLevel="0" collapsed="false">
      <c r="A44" s="34" t="str">
        <f aca="false">IF($H44="","",ROW()-1)</f>
        <v/>
      </c>
      <c r="B44" s="35"/>
      <c r="C44" s="35"/>
      <c r="D44" s="34"/>
      <c r="E44" s="34"/>
      <c r="F44" s="35"/>
      <c r="G44" s="36"/>
      <c r="H44" s="37"/>
      <c r="I44" s="37"/>
      <c r="J44" s="37"/>
      <c r="K44" s="37"/>
      <c r="L44" s="38" t="str">
        <f aca="false">IFERROR(VLOOKUP($C44,Settings!$A$9:$C$28,2,FALSE()),"")</f>
        <v/>
      </c>
      <c r="M44" s="39" t="str">
        <f aca="false">IFERROR(VLOOKUP($C44,Settings!$A$9:$C$28,3,FALSE()),"")</f>
        <v/>
      </c>
      <c r="N44" s="40" t="str">
        <f aca="false">IF(OR($H44="",$I44=""),"",IFERROR(ABS(H44-I44)/L44,""))</f>
        <v/>
      </c>
      <c r="O44" s="40" t="str">
        <f aca="false">IF(OR($H44="",$J44=""),"",IFERROR(ABS(J44-H44)/L44,""))</f>
        <v/>
      </c>
      <c r="P44" s="41" t="str">
        <f aca="false">IF(OR(N44="",O44="",N44=0),"",O44/N44)</f>
        <v/>
      </c>
      <c r="Q44" s="40" t="str">
        <f aca="false">IF(OR($H44="",$K44=""),"",IFERROR(((K44-H44)/L44)*IF($D44="Buy",1,-1),""))</f>
        <v/>
      </c>
      <c r="R44" s="42" t="str">
        <f aca="false">IF(OR(N44="",$G44=""),"",IFERROR(N44*M44*G44,""))</f>
        <v/>
      </c>
      <c r="S44" s="42" t="str">
        <f aca="false">IF(OR(Q44="",$G44=""),"",IFERROR(Q44*M44*G44,""))</f>
        <v/>
      </c>
      <c r="T44" s="41" t="str">
        <f aca="false">IF(OR(S44="",R44="",R44=0),"",S44/R44)</f>
        <v/>
      </c>
      <c r="U44" s="43" t="str">
        <f aca="false">IF(S44="","",IF(S44&gt;0,"Win",IF(S44&lt;0,"Loss","BE")))</f>
        <v/>
      </c>
      <c r="V44" s="44" t="str">
        <f aca="false">IF(OR($H44="",R44=""),"",IFERROR(R44/(W44-S44),""))</f>
        <v/>
      </c>
      <c r="W44" s="45" t="str">
        <f aca="false">IF($H44="","",Settings!$B$3+SUM($S$2:S44))</f>
        <v/>
      </c>
      <c r="X44" s="45" t="str">
        <f aca="false">IF($H44="","",MAX(Settings!$B$3,MAX($W$2:W44)))</f>
        <v/>
      </c>
      <c r="Y44" s="44" t="str">
        <f aca="false">IF(OR($H44="",X44=""),"",IFERROR((W44-X44)/X44,""))</f>
        <v/>
      </c>
      <c r="Z44" s="35"/>
    </row>
    <row r="45" customFormat="false" ht="15" hidden="false" customHeight="true" outlineLevel="0" collapsed="false">
      <c r="A45" s="34" t="str">
        <f aca="false">IF($H45="","",ROW()-1)</f>
        <v/>
      </c>
      <c r="B45" s="35"/>
      <c r="C45" s="35"/>
      <c r="D45" s="34"/>
      <c r="E45" s="34"/>
      <c r="F45" s="35"/>
      <c r="G45" s="36"/>
      <c r="H45" s="37"/>
      <c r="I45" s="37"/>
      <c r="J45" s="37"/>
      <c r="K45" s="37"/>
      <c r="L45" s="38" t="str">
        <f aca="false">IFERROR(VLOOKUP($C45,Settings!$A$9:$C$28,2,FALSE()),"")</f>
        <v/>
      </c>
      <c r="M45" s="39" t="str">
        <f aca="false">IFERROR(VLOOKUP($C45,Settings!$A$9:$C$28,3,FALSE()),"")</f>
        <v/>
      </c>
      <c r="N45" s="40" t="str">
        <f aca="false">IF(OR($H45="",$I45=""),"",IFERROR(ABS(H45-I45)/L45,""))</f>
        <v/>
      </c>
      <c r="O45" s="40" t="str">
        <f aca="false">IF(OR($H45="",$J45=""),"",IFERROR(ABS(J45-H45)/L45,""))</f>
        <v/>
      </c>
      <c r="P45" s="41" t="str">
        <f aca="false">IF(OR(N45="",O45="",N45=0),"",O45/N45)</f>
        <v/>
      </c>
      <c r="Q45" s="40" t="str">
        <f aca="false">IF(OR($H45="",$K45=""),"",IFERROR(((K45-H45)/L45)*IF($D45="Buy",1,-1),""))</f>
        <v/>
      </c>
      <c r="R45" s="42" t="str">
        <f aca="false">IF(OR(N45="",$G45=""),"",IFERROR(N45*M45*G45,""))</f>
        <v/>
      </c>
      <c r="S45" s="42" t="str">
        <f aca="false">IF(OR(Q45="",$G45=""),"",IFERROR(Q45*M45*G45,""))</f>
        <v/>
      </c>
      <c r="T45" s="41" t="str">
        <f aca="false">IF(OR(S45="",R45="",R45=0),"",S45/R45)</f>
        <v/>
      </c>
      <c r="U45" s="43" t="str">
        <f aca="false">IF(S45="","",IF(S45&gt;0,"Win",IF(S45&lt;0,"Loss","BE")))</f>
        <v/>
      </c>
      <c r="V45" s="44" t="str">
        <f aca="false">IF(OR($H45="",R45=""),"",IFERROR(R45/(W45-S45),""))</f>
        <v/>
      </c>
      <c r="W45" s="45" t="str">
        <f aca="false">IF($H45="","",Settings!$B$3+SUM($S$2:S45))</f>
        <v/>
      </c>
      <c r="X45" s="45" t="str">
        <f aca="false">IF($H45="","",MAX(Settings!$B$3,MAX($W$2:W45)))</f>
        <v/>
      </c>
      <c r="Y45" s="44" t="str">
        <f aca="false">IF(OR($H45="",X45=""),"",IFERROR((W45-X45)/X45,""))</f>
        <v/>
      </c>
      <c r="Z45" s="35"/>
    </row>
    <row r="46" customFormat="false" ht="15" hidden="false" customHeight="true" outlineLevel="0" collapsed="false">
      <c r="A46" s="34" t="str">
        <f aca="false">IF($H46="","",ROW()-1)</f>
        <v/>
      </c>
      <c r="B46" s="35"/>
      <c r="C46" s="35"/>
      <c r="D46" s="34"/>
      <c r="E46" s="34"/>
      <c r="F46" s="35"/>
      <c r="G46" s="36"/>
      <c r="H46" s="37"/>
      <c r="I46" s="37"/>
      <c r="J46" s="37"/>
      <c r="K46" s="37"/>
      <c r="L46" s="38" t="str">
        <f aca="false">IFERROR(VLOOKUP($C46,Settings!$A$9:$C$28,2,FALSE()),"")</f>
        <v/>
      </c>
      <c r="M46" s="39" t="str">
        <f aca="false">IFERROR(VLOOKUP($C46,Settings!$A$9:$C$28,3,FALSE()),"")</f>
        <v/>
      </c>
      <c r="N46" s="40" t="str">
        <f aca="false">IF(OR($H46="",$I46=""),"",IFERROR(ABS(H46-I46)/L46,""))</f>
        <v/>
      </c>
      <c r="O46" s="40" t="str">
        <f aca="false">IF(OR($H46="",$J46=""),"",IFERROR(ABS(J46-H46)/L46,""))</f>
        <v/>
      </c>
      <c r="P46" s="41" t="str">
        <f aca="false">IF(OR(N46="",O46="",N46=0),"",O46/N46)</f>
        <v/>
      </c>
      <c r="Q46" s="40" t="str">
        <f aca="false">IF(OR($H46="",$K46=""),"",IFERROR(((K46-H46)/L46)*IF($D46="Buy",1,-1),""))</f>
        <v/>
      </c>
      <c r="R46" s="42" t="str">
        <f aca="false">IF(OR(N46="",$G46=""),"",IFERROR(N46*M46*G46,""))</f>
        <v/>
      </c>
      <c r="S46" s="42" t="str">
        <f aca="false">IF(OR(Q46="",$G46=""),"",IFERROR(Q46*M46*G46,""))</f>
        <v/>
      </c>
      <c r="T46" s="41" t="str">
        <f aca="false">IF(OR(S46="",R46="",R46=0),"",S46/R46)</f>
        <v/>
      </c>
      <c r="U46" s="43" t="str">
        <f aca="false">IF(S46="","",IF(S46&gt;0,"Win",IF(S46&lt;0,"Loss","BE")))</f>
        <v/>
      </c>
      <c r="V46" s="44" t="str">
        <f aca="false">IF(OR($H46="",R46=""),"",IFERROR(R46/(W46-S46),""))</f>
        <v/>
      </c>
      <c r="W46" s="45" t="str">
        <f aca="false">IF($H46="","",Settings!$B$3+SUM($S$2:S46))</f>
        <v/>
      </c>
      <c r="X46" s="45" t="str">
        <f aca="false">IF($H46="","",MAX(Settings!$B$3,MAX($W$2:W46)))</f>
        <v/>
      </c>
      <c r="Y46" s="44" t="str">
        <f aca="false">IF(OR($H46="",X46=""),"",IFERROR((W46-X46)/X46,""))</f>
        <v/>
      </c>
      <c r="Z46" s="35"/>
    </row>
    <row r="47" customFormat="false" ht="15" hidden="false" customHeight="true" outlineLevel="0" collapsed="false">
      <c r="A47" s="34" t="str">
        <f aca="false">IF($H47="","",ROW()-1)</f>
        <v/>
      </c>
      <c r="B47" s="35"/>
      <c r="C47" s="35"/>
      <c r="D47" s="34"/>
      <c r="E47" s="34"/>
      <c r="F47" s="35"/>
      <c r="G47" s="36"/>
      <c r="H47" s="37"/>
      <c r="I47" s="37"/>
      <c r="J47" s="37"/>
      <c r="K47" s="37"/>
      <c r="L47" s="38" t="str">
        <f aca="false">IFERROR(VLOOKUP($C47,Settings!$A$9:$C$28,2,FALSE()),"")</f>
        <v/>
      </c>
      <c r="M47" s="39" t="str">
        <f aca="false">IFERROR(VLOOKUP($C47,Settings!$A$9:$C$28,3,FALSE()),"")</f>
        <v/>
      </c>
      <c r="N47" s="40" t="str">
        <f aca="false">IF(OR($H47="",$I47=""),"",IFERROR(ABS(H47-I47)/L47,""))</f>
        <v/>
      </c>
      <c r="O47" s="40" t="str">
        <f aca="false">IF(OR($H47="",$J47=""),"",IFERROR(ABS(J47-H47)/L47,""))</f>
        <v/>
      </c>
      <c r="P47" s="41" t="str">
        <f aca="false">IF(OR(N47="",O47="",N47=0),"",O47/N47)</f>
        <v/>
      </c>
      <c r="Q47" s="40" t="str">
        <f aca="false">IF(OR($H47="",$K47=""),"",IFERROR(((K47-H47)/L47)*IF($D47="Buy",1,-1),""))</f>
        <v/>
      </c>
      <c r="R47" s="42" t="str">
        <f aca="false">IF(OR(N47="",$G47=""),"",IFERROR(N47*M47*G47,""))</f>
        <v/>
      </c>
      <c r="S47" s="42" t="str">
        <f aca="false">IF(OR(Q47="",$G47=""),"",IFERROR(Q47*M47*G47,""))</f>
        <v/>
      </c>
      <c r="T47" s="41" t="str">
        <f aca="false">IF(OR(S47="",R47="",R47=0),"",S47/R47)</f>
        <v/>
      </c>
      <c r="U47" s="43" t="str">
        <f aca="false">IF(S47="","",IF(S47&gt;0,"Win",IF(S47&lt;0,"Loss","BE")))</f>
        <v/>
      </c>
      <c r="V47" s="44" t="str">
        <f aca="false">IF(OR($H47="",R47=""),"",IFERROR(R47/(W47-S47),""))</f>
        <v/>
      </c>
      <c r="W47" s="45" t="str">
        <f aca="false">IF($H47="","",Settings!$B$3+SUM($S$2:S47))</f>
        <v/>
      </c>
      <c r="X47" s="45" t="str">
        <f aca="false">IF($H47="","",MAX(Settings!$B$3,MAX($W$2:W47)))</f>
        <v/>
      </c>
      <c r="Y47" s="44" t="str">
        <f aca="false">IF(OR($H47="",X47=""),"",IFERROR((W47-X47)/X47,""))</f>
        <v/>
      </c>
      <c r="Z47" s="35"/>
    </row>
    <row r="48" customFormat="false" ht="15" hidden="false" customHeight="true" outlineLevel="0" collapsed="false">
      <c r="A48" s="34" t="str">
        <f aca="false">IF($H48="","",ROW()-1)</f>
        <v/>
      </c>
      <c r="B48" s="35"/>
      <c r="C48" s="35"/>
      <c r="D48" s="34"/>
      <c r="E48" s="34"/>
      <c r="F48" s="35"/>
      <c r="G48" s="36"/>
      <c r="H48" s="37"/>
      <c r="I48" s="37"/>
      <c r="J48" s="37"/>
      <c r="K48" s="37"/>
      <c r="L48" s="38" t="str">
        <f aca="false">IFERROR(VLOOKUP($C48,Settings!$A$9:$C$28,2,FALSE()),"")</f>
        <v/>
      </c>
      <c r="M48" s="39" t="str">
        <f aca="false">IFERROR(VLOOKUP($C48,Settings!$A$9:$C$28,3,FALSE()),"")</f>
        <v/>
      </c>
      <c r="N48" s="40" t="str">
        <f aca="false">IF(OR($H48="",$I48=""),"",IFERROR(ABS(H48-I48)/L48,""))</f>
        <v/>
      </c>
      <c r="O48" s="40" t="str">
        <f aca="false">IF(OR($H48="",$J48=""),"",IFERROR(ABS(J48-H48)/L48,""))</f>
        <v/>
      </c>
      <c r="P48" s="41" t="str">
        <f aca="false">IF(OR(N48="",O48="",N48=0),"",O48/N48)</f>
        <v/>
      </c>
      <c r="Q48" s="40" t="str">
        <f aca="false">IF(OR($H48="",$K48=""),"",IFERROR(((K48-H48)/L48)*IF($D48="Buy",1,-1),""))</f>
        <v/>
      </c>
      <c r="R48" s="42" t="str">
        <f aca="false">IF(OR(N48="",$G48=""),"",IFERROR(N48*M48*G48,""))</f>
        <v/>
      </c>
      <c r="S48" s="42" t="str">
        <f aca="false">IF(OR(Q48="",$G48=""),"",IFERROR(Q48*M48*G48,""))</f>
        <v/>
      </c>
      <c r="T48" s="41" t="str">
        <f aca="false">IF(OR(S48="",R48="",R48=0),"",S48/R48)</f>
        <v/>
      </c>
      <c r="U48" s="43" t="str">
        <f aca="false">IF(S48="","",IF(S48&gt;0,"Win",IF(S48&lt;0,"Loss","BE")))</f>
        <v/>
      </c>
      <c r="V48" s="44" t="str">
        <f aca="false">IF(OR($H48="",R48=""),"",IFERROR(R48/(W48-S48),""))</f>
        <v/>
      </c>
      <c r="W48" s="45" t="str">
        <f aca="false">IF($H48="","",Settings!$B$3+SUM($S$2:S48))</f>
        <v/>
      </c>
      <c r="X48" s="45" t="str">
        <f aca="false">IF($H48="","",MAX(Settings!$B$3,MAX($W$2:W48)))</f>
        <v/>
      </c>
      <c r="Y48" s="44" t="str">
        <f aca="false">IF(OR($H48="",X48=""),"",IFERROR((W48-X48)/X48,""))</f>
        <v/>
      </c>
      <c r="Z48" s="35"/>
    </row>
    <row r="49" customFormat="false" ht="15" hidden="false" customHeight="true" outlineLevel="0" collapsed="false">
      <c r="A49" s="34" t="str">
        <f aca="false">IF($H49="","",ROW()-1)</f>
        <v/>
      </c>
      <c r="B49" s="35"/>
      <c r="C49" s="35"/>
      <c r="D49" s="34"/>
      <c r="E49" s="34"/>
      <c r="F49" s="35"/>
      <c r="G49" s="36"/>
      <c r="H49" s="37"/>
      <c r="I49" s="37"/>
      <c r="J49" s="37"/>
      <c r="K49" s="37"/>
      <c r="L49" s="38" t="str">
        <f aca="false">IFERROR(VLOOKUP($C49,Settings!$A$9:$C$28,2,FALSE()),"")</f>
        <v/>
      </c>
      <c r="M49" s="39" t="str">
        <f aca="false">IFERROR(VLOOKUP($C49,Settings!$A$9:$C$28,3,FALSE()),"")</f>
        <v/>
      </c>
      <c r="N49" s="40" t="str">
        <f aca="false">IF(OR($H49="",$I49=""),"",IFERROR(ABS(H49-I49)/L49,""))</f>
        <v/>
      </c>
      <c r="O49" s="40" t="str">
        <f aca="false">IF(OR($H49="",$J49=""),"",IFERROR(ABS(J49-H49)/L49,""))</f>
        <v/>
      </c>
      <c r="P49" s="41" t="str">
        <f aca="false">IF(OR(N49="",O49="",N49=0),"",O49/N49)</f>
        <v/>
      </c>
      <c r="Q49" s="40" t="str">
        <f aca="false">IF(OR($H49="",$K49=""),"",IFERROR(((K49-H49)/L49)*IF($D49="Buy",1,-1),""))</f>
        <v/>
      </c>
      <c r="R49" s="42" t="str">
        <f aca="false">IF(OR(N49="",$G49=""),"",IFERROR(N49*M49*G49,""))</f>
        <v/>
      </c>
      <c r="S49" s="42" t="str">
        <f aca="false">IF(OR(Q49="",$G49=""),"",IFERROR(Q49*M49*G49,""))</f>
        <v/>
      </c>
      <c r="T49" s="41" t="str">
        <f aca="false">IF(OR(S49="",R49="",R49=0),"",S49/R49)</f>
        <v/>
      </c>
      <c r="U49" s="43" t="str">
        <f aca="false">IF(S49="","",IF(S49&gt;0,"Win",IF(S49&lt;0,"Loss","BE")))</f>
        <v/>
      </c>
      <c r="V49" s="44" t="str">
        <f aca="false">IF(OR($H49="",R49=""),"",IFERROR(R49/(W49-S49),""))</f>
        <v/>
      </c>
      <c r="W49" s="45" t="str">
        <f aca="false">IF($H49="","",Settings!$B$3+SUM($S$2:S49))</f>
        <v/>
      </c>
      <c r="X49" s="45" t="str">
        <f aca="false">IF($H49="","",MAX(Settings!$B$3,MAX($W$2:W49)))</f>
        <v/>
      </c>
      <c r="Y49" s="44" t="str">
        <f aca="false">IF(OR($H49="",X49=""),"",IFERROR((W49-X49)/X49,""))</f>
        <v/>
      </c>
      <c r="Z49" s="35"/>
    </row>
    <row r="50" customFormat="false" ht="15" hidden="false" customHeight="true" outlineLevel="0" collapsed="false">
      <c r="A50" s="34" t="str">
        <f aca="false">IF($H50="","",ROW()-1)</f>
        <v/>
      </c>
      <c r="B50" s="35"/>
      <c r="C50" s="35"/>
      <c r="D50" s="34"/>
      <c r="E50" s="34"/>
      <c r="F50" s="35"/>
      <c r="G50" s="36"/>
      <c r="H50" s="37"/>
      <c r="I50" s="37"/>
      <c r="J50" s="37"/>
      <c r="K50" s="37"/>
      <c r="L50" s="38" t="str">
        <f aca="false">IFERROR(VLOOKUP($C50,Settings!$A$9:$C$28,2,FALSE()),"")</f>
        <v/>
      </c>
      <c r="M50" s="39" t="str">
        <f aca="false">IFERROR(VLOOKUP($C50,Settings!$A$9:$C$28,3,FALSE()),"")</f>
        <v/>
      </c>
      <c r="N50" s="40" t="str">
        <f aca="false">IF(OR($H50="",$I50=""),"",IFERROR(ABS(H50-I50)/L50,""))</f>
        <v/>
      </c>
      <c r="O50" s="40" t="str">
        <f aca="false">IF(OR($H50="",$J50=""),"",IFERROR(ABS(J50-H50)/L50,""))</f>
        <v/>
      </c>
      <c r="P50" s="41" t="str">
        <f aca="false">IF(OR(N50="",O50="",N50=0),"",O50/N50)</f>
        <v/>
      </c>
      <c r="Q50" s="40" t="str">
        <f aca="false">IF(OR($H50="",$K50=""),"",IFERROR(((K50-H50)/L50)*IF($D50="Buy",1,-1),""))</f>
        <v/>
      </c>
      <c r="R50" s="42" t="str">
        <f aca="false">IF(OR(N50="",$G50=""),"",IFERROR(N50*M50*G50,""))</f>
        <v/>
      </c>
      <c r="S50" s="42" t="str">
        <f aca="false">IF(OR(Q50="",$G50=""),"",IFERROR(Q50*M50*G50,""))</f>
        <v/>
      </c>
      <c r="T50" s="41" t="str">
        <f aca="false">IF(OR(S50="",R50="",R50=0),"",S50/R50)</f>
        <v/>
      </c>
      <c r="U50" s="43" t="str">
        <f aca="false">IF(S50="","",IF(S50&gt;0,"Win",IF(S50&lt;0,"Loss","BE")))</f>
        <v/>
      </c>
      <c r="V50" s="44" t="str">
        <f aca="false">IF(OR($H50="",R50=""),"",IFERROR(R50/(W50-S50),""))</f>
        <v/>
      </c>
      <c r="W50" s="45" t="str">
        <f aca="false">IF($H50="","",Settings!$B$3+SUM($S$2:S50))</f>
        <v/>
      </c>
      <c r="X50" s="45" t="str">
        <f aca="false">IF($H50="","",MAX(Settings!$B$3,MAX($W$2:W50)))</f>
        <v/>
      </c>
      <c r="Y50" s="44" t="str">
        <f aca="false">IF(OR($H50="",X50=""),"",IFERROR((W50-X50)/X50,""))</f>
        <v/>
      </c>
      <c r="Z50" s="35"/>
    </row>
    <row r="51" customFormat="false" ht="15" hidden="false" customHeight="true" outlineLevel="0" collapsed="false">
      <c r="A51" s="34" t="str">
        <f aca="false">IF($H51="","",ROW()-1)</f>
        <v/>
      </c>
      <c r="B51" s="35"/>
      <c r="C51" s="35"/>
      <c r="D51" s="34"/>
      <c r="E51" s="34"/>
      <c r="F51" s="35"/>
      <c r="G51" s="36"/>
      <c r="H51" s="37"/>
      <c r="I51" s="37"/>
      <c r="J51" s="37"/>
      <c r="K51" s="37"/>
      <c r="L51" s="38" t="str">
        <f aca="false">IFERROR(VLOOKUP($C51,Settings!$A$9:$C$28,2,FALSE()),"")</f>
        <v/>
      </c>
      <c r="M51" s="39" t="str">
        <f aca="false">IFERROR(VLOOKUP($C51,Settings!$A$9:$C$28,3,FALSE()),"")</f>
        <v/>
      </c>
      <c r="N51" s="40" t="str">
        <f aca="false">IF(OR($H51="",$I51=""),"",IFERROR(ABS(H51-I51)/L51,""))</f>
        <v/>
      </c>
      <c r="O51" s="40" t="str">
        <f aca="false">IF(OR($H51="",$J51=""),"",IFERROR(ABS(J51-H51)/L51,""))</f>
        <v/>
      </c>
      <c r="P51" s="41" t="str">
        <f aca="false">IF(OR(N51="",O51="",N51=0),"",O51/N51)</f>
        <v/>
      </c>
      <c r="Q51" s="40" t="str">
        <f aca="false">IF(OR($H51="",$K51=""),"",IFERROR(((K51-H51)/L51)*IF($D51="Buy",1,-1),""))</f>
        <v/>
      </c>
      <c r="R51" s="42" t="str">
        <f aca="false">IF(OR(N51="",$G51=""),"",IFERROR(N51*M51*G51,""))</f>
        <v/>
      </c>
      <c r="S51" s="42" t="str">
        <f aca="false">IF(OR(Q51="",$G51=""),"",IFERROR(Q51*M51*G51,""))</f>
        <v/>
      </c>
      <c r="T51" s="41" t="str">
        <f aca="false">IF(OR(S51="",R51="",R51=0),"",S51/R51)</f>
        <v/>
      </c>
      <c r="U51" s="43" t="str">
        <f aca="false">IF(S51="","",IF(S51&gt;0,"Win",IF(S51&lt;0,"Loss","BE")))</f>
        <v/>
      </c>
      <c r="V51" s="44" t="str">
        <f aca="false">IF(OR($H51="",R51=""),"",IFERROR(R51/(W51-S51),""))</f>
        <v/>
      </c>
      <c r="W51" s="45" t="str">
        <f aca="false">IF($H51="","",Settings!$B$3+SUM($S$2:S51))</f>
        <v/>
      </c>
      <c r="X51" s="45" t="str">
        <f aca="false">IF($H51="","",MAX(Settings!$B$3,MAX($W$2:W51)))</f>
        <v/>
      </c>
      <c r="Y51" s="44" t="str">
        <f aca="false">IF(OR($H51="",X51=""),"",IFERROR((W51-X51)/X51,""))</f>
        <v/>
      </c>
      <c r="Z51" s="35"/>
    </row>
    <row r="52" customFormat="false" ht="15" hidden="false" customHeight="true" outlineLevel="0" collapsed="false">
      <c r="A52" s="34" t="str">
        <f aca="false">IF($H52="","",ROW()-1)</f>
        <v/>
      </c>
      <c r="B52" s="35"/>
      <c r="C52" s="35"/>
      <c r="D52" s="34"/>
      <c r="E52" s="34"/>
      <c r="F52" s="35"/>
      <c r="G52" s="36"/>
      <c r="H52" s="37"/>
      <c r="I52" s="37"/>
      <c r="J52" s="37"/>
      <c r="K52" s="37"/>
      <c r="L52" s="38" t="str">
        <f aca="false">IFERROR(VLOOKUP($C52,Settings!$A$9:$C$28,2,FALSE()),"")</f>
        <v/>
      </c>
      <c r="M52" s="39" t="str">
        <f aca="false">IFERROR(VLOOKUP($C52,Settings!$A$9:$C$28,3,FALSE()),"")</f>
        <v/>
      </c>
      <c r="N52" s="40" t="str">
        <f aca="false">IF(OR($H52="",$I52=""),"",IFERROR(ABS(H52-I52)/L52,""))</f>
        <v/>
      </c>
      <c r="O52" s="40" t="str">
        <f aca="false">IF(OR($H52="",$J52=""),"",IFERROR(ABS(J52-H52)/L52,""))</f>
        <v/>
      </c>
      <c r="P52" s="41" t="str">
        <f aca="false">IF(OR(N52="",O52="",N52=0),"",O52/N52)</f>
        <v/>
      </c>
      <c r="Q52" s="40" t="str">
        <f aca="false">IF(OR($H52="",$K52=""),"",IFERROR(((K52-H52)/L52)*IF($D52="Buy",1,-1),""))</f>
        <v/>
      </c>
      <c r="R52" s="42" t="str">
        <f aca="false">IF(OR(N52="",$G52=""),"",IFERROR(N52*M52*G52,""))</f>
        <v/>
      </c>
      <c r="S52" s="42" t="str">
        <f aca="false">IF(OR(Q52="",$G52=""),"",IFERROR(Q52*M52*G52,""))</f>
        <v/>
      </c>
      <c r="T52" s="41" t="str">
        <f aca="false">IF(OR(S52="",R52="",R52=0),"",S52/R52)</f>
        <v/>
      </c>
      <c r="U52" s="43" t="str">
        <f aca="false">IF(S52="","",IF(S52&gt;0,"Win",IF(S52&lt;0,"Loss","BE")))</f>
        <v/>
      </c>
      <c r="V52" s="44" t="str">
        <f aca="false">IF(OR($H52="",R52=""),"",IFERROR(R52/(W52-S52),""))</f>
        <v/>
      </c>
      <c r="W52" s="45" t="str">
        <f aca="false">IF($H52="","",Settings!$B$3+SUM($S$2:S52))</f>
        <v/>
      </c>
      <c r="X52" s="45" t="str">
        <f aca="false">IF($H52="","",MAX(Settings!$B$3,MAX($W$2:W52)))</f>
        <v/>
      </c>
      <c r="Y52" s="44" t="str">
        <f aca="false">IF(OR($H52="",X52=""),"",IFERROR((W52-X52)/X52,""))</f>
        <v/>
      </c>
      <c r="Z52" s="35"/>
    </row>
    <row r="53" customFormat="false" ht="15" hidden="false" customHeight="true" outlineLevel="0" collapsed="false">
      <c r="A53" s="34" t="str">
        <f aca="false">IF($H53="","",ROW()-1)</f>
        <v/>
      </c>
      <c r="B53" s="35"/>
      <c r="C53" s="35"/>
      <c r="D53" s="34"/>
      <c r="E53" s="34"/>
      <c r="F53" s="35"/>
      <c r="G53" s="36"/>
      <c r="H53" s="37"/>
      <c r="I53" s="37"/>
      <c r="J53" s="37"/>
      <c r="K53" s="37"/>
      <c r="L53" s="38" t="str">
        <f aca="false">IFERROR(VLOOKUP($C53,Settings!$A$9:$C$28,2,FALSE()),"")</f>
        <v/>
      </c>
      <c r="M53" s="39" t="str">
        <f aca="false">IFERROR(VLOOKUP($C53,Settings!$A$9:$C$28,3,FALSE()),"")</f>
        <v/>
      </c>
      <c r="N53" s="40" t="str">
        <f aca="false">IF(OR($H53="",$I53=""),"",IFERROR(ABS(H53-I53)/L53,""))</f>
        <v/>
      </c>
      <c r="O53" s="40" t="str">
        <f aca="false">IF(OR($H53="",$J53=""),"",IFERROR(ABS(J53-H53)/L53,""))</f>
        <v/>
      </c>
      <c r="P53" s="41" t="str">
        <f aca="false">IF(OR(N53="",O53="",N53=0),"",O53/N53)</f>
        <v/>
      </c>
      <c r="Q53" s="40" t="str">
        <f aca="false">IF(OR($H53="",$K53=""),"",IFERROR(((K53-H53)/L53)*IF($D53="Buy",1,-1),""))</f>
        <v/>
      </c>
      <c r="R53" s="42" t="str">
        <f aca="false">IF(OR(N53="",$G53=""),"",IFERROR(N53*M53*G53,""))</f>
        <v/>
      </c>
      <c r="S53" s="42" t="str">
        <f aca="false">IF(OR(Q53="",$G53=""),"",IFERROR(Q53*M53*G53,""))</f>
        <v/>
      </c>
      <c r="T53" s="41" t="str">
        <f aca="false">IF(OR(S53="",R53="",R53=0),"",S53/R53)</f>
        <v/>
      </c>
      <c r="U53" s="43" t="str">
        <f aca="false">IF(S53="","",IF(S53&gt;0,"Win",IF(S53&lt;0,"Loss","BE")))</f>
        <v/>
      </c>
      <c r="V53" s="44" t="str">
        <f aca="false">IF(OR($H53="",R53=""),"",IFERROR(R53/(W53-S53),""))</f>
        <v/>
      </c>
      <c r="W53" s="45" t="str">
        <f aca="false">IF($H53="","",Settings!$B$3+SUM($S$2:S53))</f>
        <v/>
      </c>
      <c r="X53" s="45" t="str">
        <f aca="false">IF($H53="","",MAX(Settings!$B$3,MAX($W$2:W53)))</f>
        <v/>
      </c>
      <c r="Y53" s="44" t="str">
        <f aca="false">IF(OR($H53="",X53=""),"",IFERROR((W53-X53)/X53,""))</f>
        <v/>
      </c>
      <c r="Z53" s="35"/>
    </row>
    <row r="54" customFormat="false" ht="15" hidden="false" customHeight="true" outlineLevel="0" collapsed="false">
      <c r="A54" s="34" t="str">
        <f aca="false">IF($H54="","",ROW()-1)</f>
        <v/>
      </c>
      <c r="B54" s="35"/>
      <c r="C54" s="35"/>
      <c r="D54" s="34"/>
      <c r="E54" s="34"/>
      <c r="F54" s="35"/>
      <c r="G54" s="36"/>
      <c r="H54" s="37"/>
      <c r="I54" s="37"/>
      <c r="J54" s="37"/>
      <c r="K54" s="37"/>
      <c r="L54" s="38" t="str">
        <f aca="false">IFERROR(VLOOKUP($C54,Settings!$A$9:$C$28,2,FALSE()),"")</f>
        <v/>
      </c>
      <c r="M54" s="39" t="str">
        <f aca="false">IFERROR(VLOOKUP($C54,Settings!$A$9:$C$28,3,FALSE()),"")</f>
        <v/>
      </c>
      <c r="N54" s="40" t="str">
        <f aca="false">IF(OR($H54="",$I54=""),"",IFERROR(ABS(H54-I54)/L54,""))</f>
        <v/>
      </c>
      <c r="O54" s="40" t="str">
        <f aca="false">IF(OR($H54="",$J54=""),"",IFERROR(ABS(J54-H54)/L54,""))</f>
        <v/>
      </c>
      <c r="P54" s="41" t="str">
        <f aca="false">IF(OR(N54="",O54="",N54=0),"",O54/N54)</f>
        <v/>
      </c>
      <c r="Q54" s="40" t="str">
        <f aca="false">IF(OR($H54="",$K54=""),"",IFERROR(((K54-H54)/L54)*IF($D54="Buy",1,-1),""))</f>
        <v/>
      </c>
      <c r="R54" s="42" t="str">
        <f aca="false">IF(OR(N54="",$G54=""),"",IFERROR(N54*M54*G54,""))</f>
        <v/>
      </c>
      <c r="S54" s="42" t="str">
        <f aca="false">IF(OR(Q54="",$G54=""),"",IFERROR(Q54*M54*G54,""))</f>
        <v/>
      </c>
      <c r="T54" s="41" t="str">
        <f aca="false">IF(OR(S54="",R54="",R54=0),"",S54/R54)</f>
        <v/>
      </c>
      <c r="U54" s="43" t="str">
        <f aca="false">IF(S54="","",IF(S54&gt;0,"Win",IF(S54&lt;0,"Loss","BE")))</f>
        <v/>
      </c>
      <c r="V54" s="44" t="str">
        <f aca="false">IF(OR($H54="",R54=""),"",IFERROR(R54/(W54-S54),""))</f>
        <v/>
      </c>
      <c r="W54" s="45" t="str">
        <f aca="false">IF($H54="","",Settings!$B$3+SUM($S$2:S54))</f>
        <v/>
      </c>
      <c r="X54" s="45" t="str">
        <f aca="false">IF($H54="","",MAX(Settings!$B$3,MAX($W$2:W54)))</f>
        <v/>
      </c>
      <c r="Y54" s="44" t="str">
        <f aca="false">IF(OR($H54="",X54=""),"",IFERROR((W54-X54)/X54,""))</f>
        <v/>
      </c>
      <c r="Z54" s="35"/>
    </row>
    <row r="55" customFormat="false" ht="15" hidden="false" customHeight="true" outlineLevel="0" collapsed="false">
      <c r="A55" s="34" t="str">
        <f aca="false">IF($H55="","",ROW()-1)</f>
        <v/>
      </c>
      <c r="B55" s="35"/>
      <c r="C55" s="35"/>
      <c r="D55" s="34"/>
      <c r="E55" s="34"/>
      <c r="F55" s="35"/>
      <c r="G55" s="36"/>
      <c r="H55" s="37"/>
      <c r="I55" s="37"/>
      <c r="J55" s="37"/>
      <c r="K55" s="37"/>
      <c r="L55" s="38" t="str">
        <f aca="false">IFERROR(VLOOKUP($C55,Settings!$A$9:$C$28,2,FALSE()),"")</f>
        <v/>
      </c>
      <c r="M55" s="39" t="str">
        <f aca="false">IFERROR(VLOOKUP($C55,Settings!$A$9:$C$28,3,FALSE()),"")</f>
        <v/>
      </c>
      <c r="N55" s="40" t="str">
        <f aca="false">IF(OR($H55="",$I55=""),"",IFERROR(ABS(H55-I55)/L55,""))</f>
        <v/>
      </c>
      <c r="O55" s="40" t="str">
        <f aca="false">IF(OR($H55="",$J55=""),"",IFERROR(ABS(J55-H55)/L55,""))</f>
        <v/>
      </c>
      <c r="P55" s="41" t="str">
        <f aca="false">IF(OR(N55="",O55="",N55=0),"",O55/N55)</f>
        <v/>
      </c>
      <c r="Q55" s="40" t="str">
        <f aca="false">IF(OR($H55="",$K55=""),"",IFERROR(((K55-H55)/L55)*IF($D55="Buy",1,-1),""))</f>
        <v/>
      </c>
      <c r="R55" s="42" t="str">
        <f aca="false">IF(OR(N55="",$G55=""),"",IFERROR(N55*M55*G55,""))</f>
        <v/>
      </c>
      <c r="S55" s="42" t="str">
        <f aca="false">IF(OR(Q55="",$G55=""),"",IFERROR(Q55*M55*G55,""))</f>
        <v/>
      </c>
      <c r="T55" s="41" t="str">
        <f aca="false">IF(OR(S55="",R55="",R55=0),"",S55/R55)</f>
        <v/>
      </c>
      <c r="U55" s="43" t="str">
        <f aca="false">IF(S55="","",IF(S55&gt;0,"Win",IF(S55&lt;0,"Loss","BE")))</f>
        <v/>
      </c>
      <c r="V55" s="44" t="str">
        <f aca="false">IF(OR($H55="",R55=""),"",IFERROR(R55/(W55-S55),""))</f>
        <v/>
      </c>
      <c r="W55" s="45" t="str">
        <f aca="false">IF($H55="","",Settings!$B$3+SUM($S$2:S55))</f>
        <v/>
      </c>
      <c r="X55" s="45" t="str">
        <f aca="false">IF($H55="","",MAX(Settings!$B$3,MAX($W$2:W55)))</f>
        <v/>
      </c>
      <c r="Y55" s="44" t="str">
        <f aca="false">IF(OR($H55="",X55=""),"",IFERROR((W55-X55)/X55,""))</f>
        <v/>
      </c>
      <c r="Z55" s="35"/>
    </row>
    <row r="56" customFormat="false" ht="15" hidden="false" customHeight="true" outlineLevel="0" collapsed="false">
      <c r="A56" s="34" t="str">
        <f aca="false">IF($H56="","",ROW()-1)</f>
        <v/>
      </c>
      <c r="B56" s="35"/>
      <c r="C56" s="35"/>
      <c r="D56" s="34"/>
      <c r="E56" s="34"/>
      <c r="F56" s="35"/>
      <c r="G56" s="36"/>
      <c r="H56" s="37"/>
      <c r="I56" s="37"/>
      <c r="J56" s="37"/>
      <c r="K56" s="37"/>
      <c r="L56" s="38" t="str">
        <f aca="false">IFERROR(VLOOKUP($C56,Settings!$A$9:$C$28,2,FALSE()),"")</f>
        <v/>
      </c>
      <c r="M56" s="39" t="str">
        <f aca="false">IFERROR(VLOOKUP($C56,Settings!$A$9:$C$28,3,FALSE()),"")</f>
        <v/>
      </c>
      <c r="N56" s="40" t="str">
        <f aca="false">IF(OR($H56="",$I56=""),"",IFERROR(ABS(H56-I56)/L56,""))</f>
        <v/>
      </c>
      <c r="O56" s="40" t="str">
        <f aca="false">IF(OR($H56="",$J56=""),"",IFERROR(ABS(J56-H56)/L56,""))</f>
        <v/>
      </c>
      <c r="P56" s="41" t="str">
        <f aca="false">IF(OR(N56="",O56="",N56=0),"",O56/N56)</f>
        <v/>
      </c>
      <c r="Q56" s="40" t="str">
        <f aca="false">IF(OR($H56="",$K56=""),"",IFERROR(((K56-H56)/L56)*IF($D56="Buy",1,-1),""))</f>
        <v/>
      </c>
      <c r="R56" s="42" t="str">
        <f aca="false">IF(OR(N56="",$G56=""),"",IFERROR(N56*M56*G56,""))</f>
        <v/>
      </c>
      <c r="S56" s="42" t="str">
        <f aca="false">IF(OR(Q56="",$G56=""),"",IFERROR(Q56*M56*G56,""))</f>
        <v/>
      </c>
      <c r="T56" s="41" t="str">
        <f aca="false">IF(OR(S56="",R56="",R56=0),"",S56/R56)</f>
        <v/>
      </c>
      <c r="U56" s="43" t="str">
        <f aca="false">IF(S56="","",IF(S56&gt;0,"Win",IF(S56&lt;0,"Loss","BE")))</f>
        <v/>
      </c>
      <c r="V56" s="44" t="str">
        <f aca="false">IF(OR($H56="",R56=""),"",IFERROR(R56/(W56-S56),""))</f>
        <v/>
      </c>
      <c r="W56" s="45" t="str">
        <f aca="false">IF($H56="","",Settings!$B$3+SUM($S$2:S56))</f>
        <v/>
      </c>
      <c r="X56" s="45" t="str">
        <f aca="false">IF($H56="","",MAX(Settings!$B$3,MAX($W$2:W56)))</f>
        <v/>
      </c>
      <c r="Y56" s="44" t="str">
        <f aca="false">IF(OR($H56="",X56=""),"",IFERROR((W56-X56)/X56,""))</f>
        <v/>
      </c>
      <c r="Z56" s="35"/>
    </row>
    <row r="57" customFormat="false" ht="15" hidden="false" customHeight="true" outlineLevel="0" collapsed="false">
      <c r="A57" s="34" t="str">
        <f aca="false">IF($H57="","",ROW()-1)</f>
        <v/>
      </c>
      <c r="B57" s="35"/>
      <c r="C57" s="35"/>
      <c r="D57" s="34"/>
      <c r="E57" s="34"/>
      <c r="F57" s="35"/>
      <c r="G57" s="36"/>
      <c r="H57" s="37"/>
      <c r="I57" s="37"/>
      <c r="J57" s="37"/>
      <c r="K57" s="37"/>
      <c r="L57" s="38" t="str">
        <f aca="false">IFERROR(VLOOKUP($C57,Settings!$A$9:$C$28,2,FALSE()),"")</f>
        <v/>
      </c>
      <c r="M57" s="39" t="str">
        <f aca="false">IFERROR(VLOOKUP($C57,Settings!$A$9:$C$28,3,FALSE()),"")</f>
        <v/>
      </c>
      <c r="N57" s="40" t="str">
        <f aca="false">IF(OR($H57="",$I57=""),"",IFERROR(ABS(H57-I57)/L57,""))</f>
        <v/>
      </c>
      <c r="O57" s="40" t="str">
        <f aca="false">IF(OR($H57="",$J57=""),"",IFERROR(ABS(J57-H57)/L57,""))</f>
        <v/>
      </c>
      <c r="P57" s="41" t="str">
        <f aca="false">IF(OR(N57="",O57="",N57=0),"",O57/N57)</f>
        <v/>
      </c>
      <c r="Q57" s="40" t="str">
        <f aca="false">IF(OR($H57="",$K57=""),"",IFERROR(((K57-H57)/L57)*IF($D57="Buy",1,-1),""))</f>
        <v/>
      </c>
      <c r="R57" s="42" t="str">
        <f aca="false">IF(OR(N57="",$G57=""),"",IFERROR(N57*M57*G57,""))</f>
        <v/>
      </c>
      <c r="S57" s="42" t="str">
        <f aca="false">IF(OR(Q57="",$G57=""),"",IFERROR(Q57*M57*G57,""))</f>
        <v/>
      </c>
      <c r="T57" s="41" t="str">
        <f aca="false">IF(OR(S57="",R57="",R57=0),"",S57/R57)</f>
        <v/>
      </c>
      <c r="U57" s="43" t="str">
        <f aca="false">IF(S57="","",IF(S57&gt;0,"Win",IF(S57&lt;0,"Loss","BE")))</f>
        <v/>
      </c>
      <c r="V57" s="44" t="str">
        <f aca="false">IF(OR($H57="",R57=""),"",IFERROR(R57/(W57-S57),""))</f>
        <v/>
      </c>
      <c r="W57" s="45" t="str">
        <f aca="false">IF($H57="","",Settings!$B$3+SUM($S$2:S57))</f>
        <v/>
      </c>
      <c r="X57" s="45" t="str">
        <f aca="false">IF($H57="","",MAX(Settings!$B$3,MAX($W$2:W57)))</f>
        <v/>
      </c>
      <c r="Y57" s="44" t="str">
        <f aca="false">IF(OR($H57="",X57=""),"",IFERROR((W57-X57)/X57,""))</f>
        <v/>
      </c>
      <c r="Z57" s="35"/>
    </row>
    <row r="58" customFormat="false" ht="15" hidden="false" customHeight="true" outlineLevel="0" collapsed="false">
      <c r="A58" s="34" t="str">
        <f aca="false">IF($H58="","",ROW()-1)</f>
        <v/>
      </c>
      <c r="B58" s="35"/>
      <c r="C58" s="35"/>
      <c r="D58" s="34"/>
      <c r="E58" s="34"/>
      <c r="F58" s="35"/>
      <c r="G58" s="36"/>
      <c r="H58" s="37"/>
      <c r="I58" s="37"/>
      <c r="J58" s="37"/>
      <c r="K58" s="37"/>
      <c r="L58" s="38" t="str">
        <f aca="false">IFERROR(VLOOKUP($C58,Settings!$A$9:$C$28,2,FALSE()),"")</f>
        <v/>
      </c>
      <c r="M58" s="39" t="str">
        <f aca="false">IFERROR(VLOOKUP($C58,Settings!$A$9:$C$28,3,FALSE()),"")</f>
        <v/>
      </c>
      <c r="N58" s="40" t="str">
        <f aca="false">IF(OR($H58="",$I58=""),"",IFERROR(ABS(H58-I58)/L58,""))</f>
        <v/>
      </c>
      <c r="O58" s="40" t="str">
        <f aca="false">IF(OR($H58="",$J58=""),"",IFERROR(ABS(J58-H58)/L58,""))</f>
        <v/>
      </c>
      <c r="P58" s="41" t="str">
        <f aca="false">IF(OR(N58="",O58="",N58=0),"",O58/N58)</f>
        <v/>
      </c>
      <c r="Q58" s="40" t="str">
        <f aca="false">IF(OR($H58="",$K58=""),"",IFERROR(((K58-H58)/L58)*IF($D58="Buy",1,-1),""))</f>
        <v/>
      </c>
      <c r="R58" s="42" t="str">
        <f aca="false">IF(OR(N58="",$G58=""),"",IFERROR(N58*M58*G58,""))</f>
        <v/>
      </c>
      <c r="S58" s="42" t="str">
        <f aca="false">IF(OR(Q58="",$G58=""),"",IFERROR(Q58*M58*G58,""))</f>
        <v/>
      </c>
      <c r="T58" s="41" t="str">
        <f aca="false">IF(OR(S58="",R58="",R58=0),"",S58/R58)</f>
        <v/>
      </c>
      <c r="U58" s="43" t="str">
        <f aca="false">IF(S58="","",IF(S58&gt;0,"Win",IF(S58&lt;0,"Loss","BE")))</f>
        <v/>
      </c>
      <c r="V58" s="44" t="str">
        <f aca="false">IF(OR($H58="",R58=""),"",IFERROR(R58/(W58-S58),""))</f>
        <v/>
      </c>
      <c r="W58" s="45" t="str">
        <f aca="false">IF($H58="","",Settings!$B$3+SUM($S$2:S58))</f>
        <v/>
      </c>
      <c r="X58" s="45" t="str">
        <f aca="false">IF($H58="","",MAX(Settings!$B$3,MAX($W$2:W58)))</f>
        <v/>
      </c>
      <c r="Y58" s="44" t="str">
        <f aca="false">IF(OR($H58="",X58=""),"",IFERROR((W58-X58)/X58,""))</f>
        <v/>
      </c>
      <c r="Z58" s="35"/>
    </row>
    <row r="59" customFormat="false" ht="15" hidden="false" customHeight="true" outlineLevel="0" collapsed="false">
      <c r="A59" s="34" t="str">
        <f aca="false">IF($H59="","",ROW()-1)</f>
        <v/>
      </c>
      <c r="B59" s="35"/>
      <c r="C59" s="35"/>
      <c r="D59" s="34"/>
      <c r="E59" s="34"/>
      <c r="F59" s="35"/>
      <c r="G59" s="36"/>
      <c r="H59" s="37"/>
      <c r="I59" s="37"/>
      <c r="J59" s="37"/>
      <c r="K59" s="37"/>
      <c r="L59" s="38" t="str">
        <f aca="false">IFERROR(VLOOKUP($C59,Settings!$A$9:$C$28,2,FALSE()),"")</f>
        <v/>
      </c>
      <c r="M59" s="39" t="str">
        <f aca="false">IFERROR(VLOOKUP($C59,Settings!$A$9:$C$28,3,FALSE()),"")</f>
        <v/>
      </c>
      <c r="N59" s="40" t="str">
        <f aca="false">IF(OR($H59="",$I59=""),"",IFERROR(ABS(H59-I59)/L59,""))</f>
        <v/>
      </c>
      <c r="O59" s="40" t="str">
        <f aca="false">IF(OR($H59="",$J59=""),"",IFERROR(ABS(J59-H59)/L59,""))</f>
        <v/>
      </c>
      <c r="P59" s="41" t="str">
        <f aca="false">IF(OR(N59="",O59="",N59=0),"",O59/N59)</f>
        <v/>
      </c>
      <c r="Q59" s="40" t="str">
        <f aca="false">IF(OR($H59="",$K59=""),"",IFERROR(((K59-H59)/L59)*IF($D59="Buy",1,-1),""))</f>
        <v/>
      </c>
      <c r="R59" s="42" t="str">
        <f aca="false">IF(OR(N59="",$G59=""),"",IFERROR(N59*M59*G59,""))</f>
        <v/>
      </c>
      <c r="S59" s="42" t="str">
        <f aca="false">IF(OR(Q59="",$G59=""),"",IFERROR(Q59*M59*G59,""))</f>
        <v/>
      </c>
      <c r="T59" s="41" t="str">
        <f aca="false">IF(OR(S59="",R59="",R59=0),"",S59/R59)</f>
        <v/>
      </c>
      <c r="U59" s="43" t="str">
        <f aca="false">IF(S59="","",IF(S59&gt;0,"Win",IF(S59&lt;0,"Loss","BE")))</f>
        <v/>
      </c>
      <c r="V59" s="44" t="str">
        <f aca="false">IF(OR($H59="",R59=""),"",IFERROR(R59/(W59-S59),""))</f>
        <v/>
      </c>
      <c r="W59" s="45" t="str">
        <f aca="false">IF($H59="","",Settings!$B$3+SUM($S$2:S59))</f>
        <v/>
      </c>
      <c r="X59" s="45" t="str">
        <f aca="false">IF($H59="","",MAX(Settings!$B$3,MAX($W$2:W59)))</f>
        <v/>
      </c>
      <c r="Y59" s="44" t="str">
        <f aca="false">IF(OR($H59="",X59=""),"",IFERROR((W59-X59)/X59,""))</f>
        <v/>
      </c>
      <c r="Z59" s="35"/>
    </row>
    <row r="60" customFormat="false" ht="15" hidden="false" customHeight="true" outlineLevel="0" collapsed="false">
      <c r="A60" s="34" t="str">
        <f aca="false">IF($H60="","",ROW()-1)</f>
        <v/>
      </c>
      <c r="B60" s="35"/>
      <c r="C60" s="35"/>
      <c r="D60" s="34"/>
      <c r="E60" s="34"/>
      <c r="F60" s="35"/>
      <c r="G60" s="36"/>
      <c r="H60" s="37"/>
      <c r="I60" s="37"/>
      <c r="J60" s="37"/>
      <c r="K60" s="37"/>
      <c r="L60" s="38" t="str">
        <f aca="false">IFERROR(VLOOKUP($C60,Settings!$A$9:$C$28,2,FALSE()),"")</f>
        <v/>
      </c>
      <c r="M60" s="39" t="str">
        <f aca="false">IFERROR(VLOOKUP($C60,Settings!$A$9:$C$28,3,FALSE()),"")</f>
        <v/>
      </c>
      <c r="N60" s="40" t="str">
        <f aca="false">IF(OR($H60="",$I60=""),"",IFERROR(ABS(H60-I60)/L60,""))</f>
        <v/>
      </c>
      <c r="O60" s="40" t="str">
        <f aca="false">IF(OR($H60="",$J60=""),"",IFERROR(ABS(J60-H60)/L60,""))</f>
        <v/>
      </c>
      <c r="P60" s="41" t="str">
        <f aca="false">IF(OR(N60="",O60="",N60=0),"",O60/N60)</f>
        <v/>
      </c>
      <c r="Q60" s="40" t="str">
        <f aca="false">IF(OR($H60="",$K60=""),"",IFERROR(((K60-H60)/L60)*IF($D60="Buy",1,-1),""))</f>
        <v/>
      </c>
      <c r="R60" s="42" t="str">
        <f aca="false">IF(OR(N60="",$G60=""),"",IFERROR(N60*M60*G60,""))</f>
        <v/>
      </c>
      <c r="S60" s="42" t="str">
        <f aca="false">IF(OR(Q60="",$G60=""),"",IFERROR(Q60*M60*G60,""))</f>
        <v/>
      </c>
      <c r="T60" s="41" t="str">
        <f aca="false">IF(OR(S60="",R60="",R60=0),"",S60/R60)</f>
        <v/>
      </c>
      <c r="U60" s="43" t="str">
        <f aca="false">IF(S60="","",IF(S60&gt;0,"Win",IF(S60&lt;0,"Loss","BE")))</f>
        <v/>
      </c>
      <c r="V60" s="44" t="str">
        <f aca="false">IF(OR($H60="",R60=""),"",IFERROR(R60/(W60-S60),""))</f>
        <v/>
      </c>
      <c r="W60" s="45" t="str">
        <f aca="false">IF($H60="","",Settings!$B$3+SUM($S$2:S60))</f>
        <v/>
      </c>
      <c r="X60" s="45" t="str">
        <f aca="false">IF($H60="","",MAX(Settings!$B$3,MAX($W$2:W60)))</f>
        <v/>
      </c>
      <c r="Y60" s="44" t="str">
        <f aca="false">IF(OR($H60="",X60=""),"",IFERROR((W60-X60)/X60,""))</f>
        <v/>
      </c>
      <c r="Z60" s="35"/>
    </row>
    <row r="61" customFormat="false" ht="15" hidden="false" customHeight="true" outlineLevel="0" collapsed="false">
      <c r="A61" s="34" t="str">
        <f aca="false">IF($H61="","",ROW()-1)</f>
        <v/>
      </c>
      <c r="B61" s="35"/>
      <c r="C61" s="35"/>
      <c r="D61" s="34"/>
      <c r="E61" s="34"/>
      <c r="F61" s="35"/>
      <c r="G61" s="36"/>
      <c r="H61" s="37"/>
      <c r="I61" s="37"/>
      <c r="J61" s="37"/>
      <c r="K61" s="37"/>
      <c r="L61" s="38" t="str">
        <f aca="false">IFERROR(VLOOKUP($C61,Settings!$A$9:$C$28,2,FALSE()),"")</f>
        <v/>
      </c>
      <c r="M61" s="39" t="str">
        <f aca="false">IFERROR(VLOOKUP($C61,Settings!$A$9:$C$28,3,FALSE()),"")</f>
        <v/>
      </c>
      <c r="N61" s="40" t="str">
        <f aca="false">IF(OR($H61="",$I61=""),"",IFERROR(ABS(H61-I61)/L61,""))</f>
        <v/>
      </c>
      <c r="O61" s="40" t="str">
        <f aca="false">IF(OR($H61="",$J61=""),"",IFERROR(ABS(J61-H61)/L61,""))</f>
        <v/>
      </c>
      <c r="P61" s="41" t="str">
        <f aca="false">IF(OR(N61="",O61="",N61=0),"",O61/N61)</f>
        <v/>
      </c>
      <c r="Q61" s="40" t="str">
        <f aca="false">IF(OR($H61="",$K61=""),"",IFERROR(((K61-H61)/L61)*IF($D61="Buy",1,-1),""))</f>
        <v/>
      </c>
      <c r="R61" s="42" t="str">
        <f aca="false">IF(OR(N61="",$G61=""),"",IFERROR(N61*M61*G61,""))</f>
        <v/>
      </c>
      <c r="S61" s="42" t="str">
        <f aca="false">IF(OR(Q61="",$G61=""),"",IFERROR(Q61*M61*G61,""))</f>
        <v/>
      </c>
      <c r="T61" s="41" t="str">
        <f aca="false">IF(OR(S61="",R61="",R61=0),"",S61/R61)</f>
        <v/>
      </c>
      <c r="U61" s="43" t="str">
        <f aca="false">IF(S61="","",IF(S61&gt;0,"Win",IF(S61&lt;0,"Loss","BE")))</f>
        <v/>
      </c>
      <c r="V61" s="44" t="str">
        <f aca="false">IF(OR($H61="",R61=""),"",IFERROR(R61/(W61-S61),""))</f>
        <v/>
      </c>
      <c r="W61" s="45" t="str">
        <f aca="false">IF($H61="","",Settings!$B$3+SUM($S$2:S61))</f>
        <v/>
      </c>
      <c r="X61" s="45" t="str">
        <f aca="false">IF($H61="","",MAX(Settings!$B$3,MAX($W$2:W61)))</f>
        <v/>
      </c>
      <c r="Y61" s="44" t="str">
        <f aca="false">IF(OR($H61="",X61=""),"",IFERROR((W61-X61)/X61,""))</f>
        <v/>
      </c>
      <c r="Z61" s="35"/>
    </row>
    <row r="62" customFormat="false" ht="15" hidden="false" customHeight="true" outlineLevel="0" collapsed="false">
      <c r="A62" s="34" t="str">
        <f aca="false">IF($H62="","",ROW()-1)</f>
        <v/>
      </c>
      <c r="B62" s="35"/>
      <c r="C62" s="35"/>
      <c r="D62" s="34"/>
      <c r="E62" s="34"/>
      <c r="F62" s="35"/>
      <c r="G62" s="36"/>
      <c r="H62" s="37"/>
      <c r="I62" s="37"/>
      <c r="J62" s="37"/>
      <c r="K62" s="37"/>
      <c r="L62" s="38" t="str">
        <f aca="false">IFERROR(VLOOKUP($C62,Settings!$A$9:$C$28,2,FALSE()),"")</f>
        <v/>
      </c>
      <c r="M62" s="39" t="str">
        <f aca="false">IFERROR(VLOOKUP($C62,Settings!$A$9:$C$28,3,FALSE()),"")</f>
        <v/>
      </c>
      <c r="N62" s="40" t="str">
        <f aca="false">IF(OR($H62="",$I62=""),"",IFERROR(ABS(H62-I62)/L62,""))</f>
        <v/>
      </c>
      <c r="O62" s="40" t="str">
        <f aca="false">IF(OR($H62="",$J62=""),"",IFERROR(ABS(J62-H62)/L62,""))</f>
        <v/>
      </c>
      <c r="P62" s="41" t="str">
        <f aca="false">IF(OR(N62="",O62="",N62=0),"",O62/N62)</f>
        <v/>
      </c>
      <c r="Q62" s="40" t="str">
        <f aca="false">IF(OR($H62="",$K62=""),"",IFERROR(((K62-H62)/L62)*IF($D62="Buy",1,-1),""))</f>
        <v/>
      </c>
      <c r="R62" s="42" t="str">
        <f aca="false">IF(OR(N62="",$G62=""),"",IFERROR(N62*M62*G62,""))</f>
        <v/>
      </c>
      <c r="S62" s="42" t="str">
        <f aca="false">IF(OR(Q62="",$G62=""),"",IFERROR(Q62*M62*G62,""))</f>
        <v/>
      </c>
      <c r="T62" s="41" t="str">
        <f aca="false">IF(OR(S62="",R62="",R62=0),"",S62/R62)</f>
        <v/>
      </c>
      <c r="U62" s="43" t="str">
        <f aca="false">IF(S62="","",IF(S62&gt;0,"Win",IF(S62&lt;0,"Loss","BE")))</f>
        <v/>
      </c>
      <c r="V62" s="44" t="str">
        <f aca="false">IF(OR($H62="",R62=""),"",IFERROR(R62/(W62-S62),""))</f>
        <v/>
      </c>
      <c r="W62" s="45" t="str">
        <f aca="false">IF($H62="","",Settings!$B$3+SUM($S$2:S62))</f>
        <v/>
      </c>
      <c r="X62" s="45" t="str">
        <f aca="false">IF($H62="","",MAX(Settings!$B$3,MAX($W$2:W62)))</f>
        <v/>
      </c>
      <c r="Y62" s="44" t="str">
        <f aca="false">IF(OR($H62="",X62=""),"",IFERROR((W62-X62)/X62,""))</f>
        <v/>
      </c>
      <c r="Z62" s="35"/>
    </row>
    <row r="63" customFormat="false" ht="15" hidden="false" customHeight="true" outlineLevel="0" collapsed="false">
      <c r="A63" s="34" t="str">
        <f aca="false">IF($H63="","",ROW()-1)</f>
        <v/>
      </c>
      <c r="B63" s="35"/>
      <c r="C63" s="35"/>
      <c r="D63" s="34"/>
      <c r="E63" s="34"/>
      <c r="F63" s="35"/>
      <c r="G63" s="36"/>
      <c r="H63" s="37"/>
      <c r="I63" s="37"/>
      <c r="J63" s="37"/>
      <c r="K63" s="37"/>
      <c r="L63" s="38" t="str">
        <f aca="false">IFERROR(VLOOKUP($C63,Settings!$A$9:$C$28,2,FALSE()),"")</f>
        <v/>
      </c>
      <c r="M63" s="39" t="str">
        <f aca="false">IFERROR(VLOOKUP($C63,Settings!$A$9:$C$28,3,FALSE()),"")</f>
        <v/>
      </c>
      <c r="N63" s="40" t="str">
        <f aca="false">IF(OR($H63="",$I63=""),"",IFERROR(ABS(H63-I63)/L63,""))</f>
        <v/>
      </c>
      <c r="O63" s="40" t="str">
        <f aca="false">IF(OR($H63="",$J63=""),"",IFERROR(ABS(J63-H63)/L63,""))</f>
        <v/>
      </c>
      <c r="P63" s="41" t="str">
        <f aca="false">IF(OR(N63="",O63="",N63=0),"",O63/N63)</f>
        <v/>
      </c>
      <c r="Q63" s="40" t="str">
        <f aca="false">IF(OR($H63="",$K63=""),"",IFERROR(((K63-H63)/L63)*IF($D63="Buy",1,-1),""))</f>
        <v/>
      </c>
      <c r="R63" s="42" t="str">
        <f aca="false">IF(OR(N63="",$G63=""),"",IFERROR(N63*M63*G63,""))</f>
        <v/>
      </c>
      <c r="S63" s="42" t="str">
        <f aca="false">IF(OR(Q63="",$G63=""),"",IFERROR(Q63*M63*G63,""))</f>
        <v/>
      </c>
      <c r="T63" s="41" t="str">
        <f aca="false">IF(OR(S63="",R63="",R63=0),"",S63/R63)</f>
        <v/>
      </c>
      <c r="U63" s="43" t="str">
        <f aca="false">IF(S63="","",IF(S63&gt;0,"Win",IF(S63&lt;0,"Loss","BE")))</f>
        <v/>
      </c>
      <c r="V63" s="44" t="str">
        <f aca="false">IF(OR($H63="",R63=""),"",IFERROR(R63/(W63-S63),""))</f>
        <v/>
      </c>
      <c r="W63" s="45" t="str">
        <f aca="false">IF($H63="","",Settings!$B$3+SUM($S$2:S63))</f>
        <v/>
      </c>
      <c r="X63" s="45" t="str">
        <f aca="false">IF($H63="","",MAX(Settings!$B$3,MAX($W$2:W63)))</f>
        <v/>
      </c>
      <c r="Y63" s="44" t="str">
        <f aca="false">IF(OR($H63="",X63=""),"",IFERROR((W63-X63)/X63,""))</f>
        <v/>
      </c>
      <c r="Z63" s="35"/>
    </row>
    <row r="64" customFormat="false" ht="15" hidden="false" customHeight="true" outlineLevel="0" collapsed="false">
      <c r="A64" s="34" t="str">
        <f aca="false">IF($H64="","",ROW()-1)</f>
        <v/>
      </c>
      <c r="B64" s="35"/>
      <c r="C64" s="35"/>
      <c r="D64" s="34"/>
      <c r="E64" s="34"/>
      <c r="F64" s="35"/>
      <c r="G64" s="36"/>
      <c r="H64" s="37"/>
      <c r="I64" s="37"/>
      <c r="J64" s="37"/>
      <c r="K64" s="37"/>
      <c r="L64" s="38" t="str">
        <f aca="false">IFERROR(VLOOKUP($C64,Settings!$A$9:$C$28,2,FALSE()),"")</f>
        <v/>
      </c>
      <c r="M64" s="39" t="str">
        <f aca="false">IFERROR(VLOOKUP($C64,Settings!$A$9:$C$28,3,FALSE()),"")</f>
        <v/>
      </c>
      <c r="N64" s="40" t="str">
        <f aca="false">IF(OR($H64="",$I64=""),"",IFERROR(ABS(H64-I64)/L64,""))</f>
        <v/>
      </c>
      <c r="O64" s="40" t="str">
        <f aca="false">IF(OR($H64="",$J64=""),"",IFERROR(ABS(J64-H64)/L64,""))</f>
        <v/>
      </c>
      <c r="P64" s="41" t="str">
        <f aca="false">IF(OR(N64="",O64="",N64=0),"",O64/N64)</f>
        <v/>
      </c>
      <c r="Q64" s="40" t="str">
        <f aca="false">IF(OR($H64="",$K64=""),"",IFERROR(((K64-H64)/L64)*IF($D64="Buy",1,-1),""))</f>
        <v/>
      </c>
      <c r="R64" s="42" t="str">
        <f aca="false">IF(OR(N64="",$G64=""),"",IFERROR(N64*M64*G64,""))</f>
        <v/>
      </c>
      <c r="S64" s="42" t="str">
        <f aca="false">IF(OR(Q64="",$G64=""),"",IFERROR(Q64*M64*G64,""))</f>
        <v/>
      </c>
      <c r="T64" s="41" t="str">
        <f aca="false">IF(OR(S64="",R64="",R64=0),"",S64/R64)</f>
        <v/>
      </c>
      <c r="U64" s="43" t="str">
        <f aca="false">IF(S64="","",IF(S64&gt;0,"Win",IF(S64&lt;0,"Loss","BE")))</f>
        <v/>
      </c>
      <c r="V64" s="44" t="str">
        <f aca="false">IF(OR($H64="",R64=""),"",IFERROR(R64/(W64-S64),""))</f>
        <v/>
      </c>
      <c r="W64" s="45" t="str">
        <f aca="false">IF($H64="","",Settings!$B$3+SUM($S$2:S64))</f>
        <v/>
      </c>
      <c r="X64" s="45" t="str">
        <f aca="false">IF($H64="","",MAX(Settings!$B$3,MAX($W$2:W64)))</f>
        <v/>
      </c>
      <c r="Y64" s="44" t="str">
        <f aca="false">IF(OR($H64="",X64=""),"",IFERROR((W64-X64)/X64,""))</f>
        <v/>
      </c>
      <c r="Z64" s="35"/>
    </row>
    <row r="65" customFormat="false" ht="15" hidden="false" customHeight="true" outlineLevel="0" collapsed="false">
      <c r="A65" s="34" t="str">
        <f aca="false">IF($H65="","",ROW()-1)</f>
        <v/>
      </c>
      <c r="B65" s="35"/>
      <c r="C65" s="35"/>
      <c r="D65" s="34"/>
      <c r="E65" s="34"/>
      <c r="F65" s="35"/>
      <c r="G65" s="36"/>
      <c r="H65" s="37"/>
      <c r="I65" s="37"/>
      <c r="J65" s="37"/>
      <c r="K65" s="37"/>
      <c r="L65" s="38" t="str">
        <f aca="false">IFERROR(VLOOKUP($C65,Settings!$A$9:$C$28,2,FALSE()),"")</f>
        <v/>
      </c>
      <c r="M65" s="39" t="str">
        <f aca="false">IFERROR(VLOOKUP($C65,Settings!$A$9:$C$28,3,FALSE()),"")</f>
        <v/>
      </c>
      <c r="N65" s="40" t="str">
        <f aca="false">IF(OR($H65="",$I65=""),"",IFERROR(ABS(H65-I65)/L65,""))</f>
        <v/>
      </c>
      <c r="O65" s="40" t="str">
        <f aca="false">IF(OR($H65="",$J65=""),"",IFERROR(ABS(J65-H65)/L65,""))</f>
        <v/>
      </c>
      <c r="P65" s="41" t="str">
        <f aca="false">IF(OR(N65="",O65="",N65=0),"",O65/N65)</f>
        <v/>
      </c>
      <c r="Q65" s="40" t="str">
        <f aca="false">IF(OR($H65="",$K65=""),"",IFERROR(((K65-H65)/L65)*IF($D65="Buy",1,-1),""))</f>
        <v/>
      </c>
      <c r="R65" s="42" t="str">
        <f aca="false">IF(OR(N65="",$G65=""),"",IFERROR(N65*M65*G65,""))</f>
        <v/>
      </c>
      <c r="S65" s="42" t="str">
        <f aca="false">IF(OR(Q65="",$G65=""),"",IFERROR(Q65*M65*G65,""))</f>
        <v/>
      </c>
      <c r="T65" s="41" t="str">
        <f aca="false">IF(OR(S65="",R65="",R65=0),"",S65/R65)</f>
        <v/>
      </c>
      <c r="U65" s="43" t="str">
        <f aca="false">IF(S65="","",IF(S65&gt;0,"Win",IF(S65&lt;0,"Loss","BE")))</f>
        <v/>
      </c>
      <c r="V65" s="44" t="str">
        <f aca="false">IF(OR($H65="",R65=""),"",IFERROR(R65/(W65-S65),""))</f>
        <v/>
      </c>
      <c r="W65" s="45" t="str">
        <f aca="false">IF($H65="","",Settings!$B$3+SUM($S$2:S65))</f>
        <v/>
      </c>
      <c r="X65" s="45" t="str">
        <f aca="false">IF($H65="","",MAX(Settings!$B$3,MAX($W$2:W65)))</f>
        <v/>
      </c>
      <c r="Y65" s="44" t="str">
        <f aca="false">IF(OR($H65="",X65=""),"",IFERROR((W65-X65)/X65,""))</f>
        <v/>
      </c>
      <c r="Z65" s="35"/>
    </row>
    <row r="66" customFormat="false" ht="15" hidden="false" customHeight="true" outlineLevel="0" collapsed="false">
      <c r="A66" s="34" t="str">
        <f aca="false">IF($H66="","",ROW()-1)</f>
        <v/>
      </c>
      <c r="B66" s="35"/>
      <c r="C66" s="35"/>
      <c r="D66" s="34"/>
      <c r="E66" s="34"/>
      <c r="F66" s="35"/>
      <c r="G66" s="36"/>
      <c r="H66" s="37"/>
      <c r="I66" s="37"/>
      <c r="J66" s="37"/>
      <c r="K66" s="37"/>
      <c r="L66" s="38" t="str">
        <f aca="false">IFERROR(VLOOKUP($C66,Settings!$A$9:$C$28,2,FALSE()),"")</f>
        <v/>
      </c>
      <c r="M66" s="39" t="str">
        <f aca="false">IFERROR(VLOOKUP($C66,Settings!$A$9:$C$28,3,FALSE()),"")</f>
        <v/>
      </c>
      <c r="N66" s="40" t="str">
        <f aca="false">IF(OR($H66="",$I66=""),"",IFERROR(ABS(H66-I66)/L66,""))</f>
        <v/>
      </c>
      <c r="O66" s="40" t="str">
        <f aca="false">IF(OR($H66="",$J66=""),"",IFERROR(ABS(J66-H66)/L66,""))</f>
        <v/>
      </c>
      <c r="P66" s="41" t="str">
        <f aca="false">IF(OR(N66="",O66="",N66=0),"",O66/N66)</f>
        <v/>
      </c>
      <c r="Q66" s="40" t="str">
        <f aca="false">IF(OR($H66="",$K66=""),"",IFERROR(((K66-H66)/L66)*IF($D66="Buy",1,-1),""))</f>
        <v/>
      </c>
      <c r="R66" s="42" t="str">
        <f aca="false">IF(OR(N66="",$G66=""),"",IFERROR(N66*M66*G66,""))</f>
        <v/>
      </c>
      <c r="S66" s="42" t="str">
        <f aca="false">IF(OR(Q66="",$G66=""),"",IFERROR(Q66*M66*G66,""))</f>
        <v/>
      </c>
      <c r="T66" s="41" t="str">
        <f aca="false">IF(OR(S66="",R66="",R66=0),"",S66/R66)</f>
        <v/>
      </c>
      <c r="U66" s="43" t="str">
        <f aca="false">IF(S66="","",IF(S66&gt;0,"Win",IF(S66&lt;0,"Loss","BE")))</f>
        <v/>
      </c>
      <c r="V66" s="44" t="str">
        <f aca="false">IF(OR($H66="",R66=""),"",IFERROR(R66/(W66-S66),""))</f>
        <v/>
      </c>
      <c r="W66" s="45" t="str">
        <f aca="false">IF($H66="","",Settings!$B$3+SUM($S$2:S66))</f>
        <v/>
      </c>
      <c r="X66" s="45" t="str">
        <f aca="false">IF($H66="","",MAX(Settings!$B$3,MAX($W$2:W66)))</f>
        <v/>
      </c>
      <c r="Y66" s="44" t="str">
        <f aca="false">IF(OR($H66="",X66=""),"",IFERROR((W66-X66)/X66,""))</f>
        <v/>
      </c>
      <c r="Z66" s="35"/>
    </row>
    <row r="67" customFormat="false" ht="15" hidden="false" customHeight="true" outlineLevel="0" collapsed="false">
      <c r="A67" s="34" t="str">
        <f aca="false">IF($H67="","",ROW()-1)</f>
        <v/>
      </c>
      <c r="B67" s="35"/>
      <c r="C67" s="35"/>
      <c r="D67" s="34"/>
      <c r="E67" s="34"/>
      <c r="F67" s="35"/>
      <c r="G67" s="36"/>
      <c r="H67" s="37"/>
      <c r="I67" s="37"/>
      <c r="J67" s="37"/>
      <c r="K67" s="37"/>
      <c r="L67" s="38" t="str">
        <f aca="false">IFERROR(VLOOKUP($C67,Settings!$A$9:$C$28,2,FALSE()),"")</f>
        <v/>
      </c>
      <c r="M67" s="39" t="str">
        <f aca="false">IFERROR(VLOOKUP($C67,Settings!$A$9:$C$28,3,FALSE()),"")</f>
        <v/>
      </c>
      <c r="N67" s="40" t="str">
        <f aca="false">IF(OR($H67="",$I67=""),"",IFERROR(ABS(H67-I67)/L67,""))</f>
        <v/>
      </c>
      <c r="O67" s="40" t="str">
        <f aca="false">IF(OR($H67="",$J67=""),"",IFERROR(ABS(J67-H67)/L67,""))</f>
        <v/>
      </c>
      <c r="P67" s="41" t="str">
        <f aca="false">IF(OR(N67="",O67="",N67=0),"",O67/N67)</f>
        <v/>
      </c>
      <c r="Q67" s="40" t="str">
        <f aca="false">IF(OR($H67="",$K67=""),"",IFERROR(((K67-H67)/L67)*IF($D67="Buy",1,-1),""))</f>
        <v/>
      </c>
      <c r="R67" s="42" t="str">
        <f aca="false">IF(OR(N67="",$G67=""),"",IFERROR(N67*M67*G67,""))</f>
        <v/>
      </c>
      <c r="S67" s="42" t="str">
        <f aca="false">IF(OR(Q67="",$G67=""),"",IFERROR(Q67*M67*G67,""))</f>
        <v/>
      </c>
      <c r="T67" s="41" t="str">
        <f aca="false">IF(OR(S67="",R67="",R67=0),"",S67/R67)</f>
        <v/>
      </c>
      <c r="U67" s="43" t="str">
        <f aca="false">IF(S67="","",IF(S67&gt;0,"Win",IF(S67&lt;0,"Loss","BE")))</f>
        <v/>
      </c>
      <c r="V67" s="44" t="str">
        <f aca="false">IF(OR($H67="",R67=""),"",IFERROR(R67/(W67-S67),""))</f>
        <v/>
      </c>
      <c r="W67" s="45" t="str">
        <f aca="false">IF($H67="","",Settings!$B$3+SUM($S$2:S67))</f>
        <v/>
      </c>
      <c r="X67" s="45" t="str">
        <f aca="false">IF($H67="","",MAX(Settings!$B$3,MAX($W$2:W67)))</f>
        <v/>
      </c>
      <c r="Y67" s="44" t="str">
        <f aca="false">IF(OR($H67="",X67=""),"",IFERROR((W67-X67)/X67,""))</f>
        <v/>
      </c>
      <c r="Z67" s="35"/>
    </row>
    <row r="68" customFormat="false" ht="15" hidden="false" customHeight="true" outlineLevel="0" collapsed="false">
      <c r="A68" s="34" t="str">
        <f aca="false">IF($H68="","",ROW()-1)</f>
        <v/>
      </c>
      <c r="B68" s="35"/>
      <c r="C68" s="35"/>
      <c r="D68" s="34"/>
      <c r="E68" s="34"/>
      <c r="F68" s="35"/>
      <c r="G68" s="36"/>
      <c r="H68" s="37"/>
      <c r="I68" s="37"/>
      <c r="J68" s="37"/>
      <c r="K68" s="37"/>
      <c r="L68" s="38" t="str">
        <f aca="false">IFERROR(VLOOKUP($C68,Settings!$A$9:$C$28,2,FALSE()),"")</f>
        <v/>
      </c>
      <c r="M68" s="39" t="str">
        <f aca="false">IFERROR(VLOOKUP($C68,Settings!$A$9:$C$28,3,FALSE()),"")</f>
        <v/>
      </c>
      <c r="N68" s="40" t="str">
        <f aca="false">IF(OR($H68="",$I68=""),"",IFERROR(ABS(H68-I68)/L68,""))</f>
        <v/>
      </c>
      <c r="O68" s="40" t="str">
        <f aca="false">IF(OR($H68="",$J68=""),"",IFERROR(ABS(J68-H68)/L68,""))</f>
        <v/>
      </c>
      <c r="P68" s="41" t="str">
        <f aca="false">IF(OR(N68="",O68="",N68=0),"",O68/N68)</f>
        <v/>
      </c>
      <c r="Q68" s="40" t="str">
        <f aca="false">IF(OR($H68="",$K68=""),"",IFERROR(((K68-H68)/L68)*IF($D68="Buy",1,-1),""))</f>
        <v/>
      </c>
      <c r="R68" s="42" t="str">
        <f aca="false">IF(OR(N68="",$G68=""),"",IFERROR(N68*M68*G68,""))</f>
        <v/>
      </c>
      <c r="S68" s="42" t="str">
        <f aca="false">IF(OR(Q68="",$G68=""),"",IFERROR(Q68*M68*G68,""))</f>
        <v/>
      </c>
      <c r="T68" s="41" t="str">
        <f aca="false">IF(OR(S68="",R68="",R68=0),"",S68/R68)</f>
        <v/>
      </c>
      <c r="U68" s="43" t="str">
        <f aca="false">IF(S68="","",IF(S68&gt;0,"Win",IF(S68&lt;0,"Loss","BE")))</f>
        <v/>
      </c>
      <c r="V68" s="44" t="str">
        <f aca="false">IF(OR($H68="",R68=""),"",IFERROR(R68/(W68-S68),""))</f>
        <v/>
      </c>
      <c r="W68" s="45" t="str">
        <f aca="false">IF($H68="","",Settings!$B$3+SUM($S$2:S68))</f>
        <v/>
      </c>
      <c r="X68" s="45" t="str">
        <f aca="false">IF($H68="","",MAX(Settings!$B$3,MAX($W$2:W68)))</f>
        <v/>
      </c>
      <c r="Y68" s="44" t="str">
        <f aca="false">IF(OR($H68="",X68=""),"",IFERROR((W68-X68)/X68,""))</f>
        <v/>
      </c>
      <c r="Z68" s="35"/>
    </row>
    <row r="69" customFormat="false" ht="15" hidden="false" customHeight="true" outlineLevel="0" collapsed="false">
      <c r="A69" s="34" t="str">
        <f aca="false">IF($H69="","",ROW()-1)</f>
        <v/>
      </c>
      <c r="B69" s="35"/>
      <c r="C69" s="35"/>
      <c r="D69" s="34"/>
      <c r="E69" s="34"/>
      <c r="F69" s="35"/>
      <c r="G69" s="36"/>
      <c r="H69" s="37"/>
      <c r="I69" s="37"/>
      <c r="J69" s="37"/>
      <c r="K69" s="37"/>
      <c r="L69" s="38" t="str">
        <f aca="false">IFERROR(VLOOKUP($C69,Settings!$A$9:$C$28,2,FALSE()),"")</f>
        <v/>
      </c>
      <c r="M69" s="39" t="str">
        <f aca="false">IFERROR(VLOOKUP($C69,Settings!$A$9:$C$28,3,FALSE()),"")</f>
        <v/>
      </c>
      <c r="N69" s="40" t="str">
        <f aca="false">IF(OR($H69="",$I69=""),"",IFERROR(ABS(H69-I69)/L69,""))</f>
        <v/>
      </c>
      <c r="O69" s="40" t="str">
        <f aca="false">IF(OR($H69="",$J69=""),"",IFERROR(ABS(J69-H69)/L69,""))</f>
        <v/>
      </c>
      <c r="P69" s="41" t="str">
        <f aca="false">IF(OR(N69="",O69="",N69=0),"",O69/N69)</f>
        <v/>
      </c>
      <c r="Q69" s="40" t="str">
        <f aca="false">IF(OR($H69="",$K69=""),"",IFERROR(((K69-H69)/L69)*IF($D69="Buy",1,-1),""))</f>
        <v/>
      </c>
      <c r="R69" s="42" t="str">
        <f aca="false">IF(OR(N69="",$G69=""),"",IFERROR(N69*M69*G69,""))</f>
        <v/>
      </c>
      <c r="S69" s="42" t="str">
        <f aca="false">IF(OR(Q69="",$G69=""),"",IFERROR(Q69*M69*G69,""))</f>
        <v/>
      </c>
      <c r="T69" s="41" t="str">
        <f aca="false">IF(OR(S69="",R69="",R69=0),"",S69/R69)</f>
        <v/>
      </c>
      <c r="U69" s="43" t="str">
        <f aca="false">IF(S69="","",IF(S69&gt;0,"Win",IF(S69&lt;0,"Loss","BE")))</f>
        <v/>
      </c>
      <c r="V69" s="44" t="str">
        <f aca="false">IF(OR($H69="",R69=""),"",IFERROR(R69/(W69-S69),""))</f>
        <v/>
      </c>
      <c r="W69" s="45" t="str">
        <f aca="false">IF($H69="","",Settings!$B$3+SUM($S$2:S69))</f>
        <v/>
      </c>
      <c r="X69" s="45" t="str">
        <f aca="false">IF($H69="","",MAX(Settings!$B$3,MAX($W$2:W69)))</f>
        <v/>
      </c>
      <c r="Y69" s="44" t="str">
        <f aca="false">IF(OR($H69="",X69=""),"",IFERROR((W69-X69)/X69,""))</f>
        <v/>
      </c>
      <c r="Z69" s="35"/>
    </row>
    <row r="70" customFormat="false" ht="15" hidden="false" customHeight="true" outlineLevel="0" collapsed="false">
      <c r="A70" s="34" t="str">
        <f aca="false">IF($H70="","",ROW()-1)</f>
        <v/>
      </c>
      <c r="B70" s="35"/>
      <c r="C70" s="35"/>
      <c r="D70" s="34"/>
      <c r="E70" s="34"/>
      <c r="F70" s="35"/>
      <c r="G70" s="36"/>
      <c r="H70" s="37"/>
      <c r="I70" s="37"/>
      <c r="J70" s="37"/>
      <c r="K70" s="37"/>
      <c r="L70" s="38" t="str">
        <f aca="false">IFERROR(VLOOKUP($C70,Settings!$A$9:$C$28,2,FALSE()),"")</f>
        <v/>
      </c>
      <c r="M70" s="39" t="str">
        <f aca="false">IFERROR(VLOOKUP($C70,Settings!$A$9:$C$28,3,FALSE()),"")</f>
        <v/>
      </c>
      <c r="N70" s="40" t="str">
        <f aca="false">IF(OR($H70="",$I70=""),"",IFERROR(ABS(H70-I70)/L70,""))</f>
        <v/>
      </c>
      <c r="O70" s="40" t="str">
        <f aca="false">IF(OR($H70="",$J70=""),"",IFERROR(ABS(J70-H70)/L70,""))</f>
        <v/>
      </c>
      <c r="P70" s="41" t="str">
        <f aca="false">IF(OR(N70="",O70="",N70=0),"",O70/N70)</f>
        <v/>
      </c>
      <c r="Q70" s="40" t="str">
        <f aca="false">IF(OR($H70="",$K70=""),"",IFERROR(((K70-H70)/L70)*IF($D70="Buy",1,-1),""))</f>
        <v/>
      </c>
      <c r="R70" s="42" t="str">
        <f aca="false">IF(OR(N70="",$G70=""),"",IFERROR(N70*M70*G70,""))</f>
        <v/>
      </c>
      <c r="S70" s="42" t="str">
        <f aca="false">IF(OR(Q70="",$G70=""),"",IFERROR(Q70*M70*G70,""))</f>
        <v/>
      </c>
      <c r="T70" s="41" t="str">
        <f aca="false">IF(OR(S70="",R70="",R70=0),"",S70/R70)</f>
        <v/>
      </c>
      <c r="U70" s="43" t="str">
        <f aca="false">IF(S70="","",IF(S70&gt;0,"Win",IF(S70&lt;0,"Loss","BE")))</f>
        <v/>
      </c>
      <c r="V70" s="44" t="str">
        <f aca="false">IF(OR($H70="",R70=""),"",IFERROR(R70/(W70-S70),""))</f>
        <v/>
      </c>
      <c r="W70" s="45" t="str">
        <f aca="false">IF($H70="","",Settings!$B$3+SUM($S$2:S70))</f>
        <v/>
      </c>
      <c r="X70" s="45" t="str">
        <f aca="false">IF($H70="","",MAX(Settings!$B$3,MAX($W$2:W70)))</f>
        <v/>
      </c>
      <c r="Y70" s="44" t="str">
        <f aca="false">IF(OR($H70="",X70=""),"",IFERROR((W70-X70)/X70,""))</f>
        <v/>
      </c>
      <c r="Z70" s="35"/>
    </row>
    <row r="71" customFormat="false" ht="15" hidden="false" customHeight="true" outlineLevel="0" collapsed="false">
      <c r="A71" s="34" t="str">
        <f aca="false">IF($H71="","",ROW()-1)</f>
        <v/>
      </c>
      <c r="B71" s="35"/>
      <c r="C71" s="35"/>
      <c r="D71" s="34"/>
      <c r="E71" s="34"/>
      <c r="F71" s="35"/>
      <c r="G71" s="36"/>
      <c r="H71" s="37"/>
      <c r="I71" s="37"/>
      <c r="J71" s="37"/>
      <c r="K71" s="37"/>
      <c r="L71" s="38" t="str">
        <f aca="false">IFERROR(VLOOKUP($C71,Settings!$A$9:$C$28,2,FALSE()),"")</f>
        <v/>
      </c>
      <c r="M71" s="39" t="str">
        <f aca="false">IFERROR(VLOOKUP($C71,Settings!$A$9:$C$28,3,FALSE()),"")</f>
        <v/>
      </c>
      <c r="N71" s="40" t="str">
        <f aca="false">IF(OR($H71="",$I71=""),"",IFERROR(ABS(H71-I71)/L71,""))</f>
        <v/>
      </c>
      <c r="O71" s="40" t="str">
        <f aca="false">IF(OR($H71="",$J71=""),"",IFERROR(ABS(J71-H71)/L71,""))</f>
        <v/>
      </c>
      <c r="P71" s="41" t="str">
        <f aca="false">IF(OR(N71="",O71="",N71=0),"",O71/N71)</f>
        <v/>
      </c>
      <c r="Q71" s="40" t="str">
        <f aca="false">IF(OR($H71="",$K71=""),"",IFERROR(((K71-H71)/L71)*IF($D71="Buy",1,-1),""))</f>
        <v/>
      </c>
      <c r="R71" s="42" t="str">
        <f aca="false">IF(OR(N71="",$G71=""),"",IFERROR(N71*M71*G71,""))</f>
        <v/>
      </c>
      <c r="S71" s="42" t="str">
        <f aca="false">IF(OR(Q71="",$G71=""),"",IFERROR(Q71*M71*G71,""))</f>
        <v/>
      </c>
      <c r="T71" s="41" t="str">
        <f aca="false">IF(OR(S71="",R71="",R71=0),"",S71/R71)</f>
        <v/>
      </c>
      <c r="U71" s="43" t="str">
        <f aca="false">IF(S71="","",IF(S71&gt;0,"Win",IF(S71&lt;0,"Loss","BE")))</f>
        <v/>
      </c>
      <c r="V71" s="44" t="str">
        <f aca="false">IF(OR($H71="",R71=""),"",IFERROR(R71/(W71-S71),""))</f>
        <v/>
      </c>
      <c r="W71" s="45" t="str">
        <f aca="false">IF($H71="","",Settings!$B$3+SUM($S$2:S71))</f>
        <v/>
      </c>
      <c r="X71" s="45" t="str">
        <f aca="false">IF($H71="","",MAX(Settings!$B$3,MAX($W$2:W71)))</f>
        <v/>
      </c>
      <c r="Y71" s="44" t="str">
        <f aca="false">IF(OR($H71="",X71=""),"",IFERROR((W71-X71)/X71,""))</f>
        <v/>
      </c>
      <c r="Z71" s="35"/>
    </row>
    <row r="72" customFormat="false" ht="15" hidden="false" customHeight="true" outlineLevel="0" collapsed="false">
      <c r="A72" s="34" t="str">
        <f aca="false">IF($H72="","",ROW()-1)</f>
        <v/>
      </c>
      <c r="B72" s="35"/>
      <c r="C72" s="35"/>
      <c r="D72" s="34"/>
      <c r="E72" s="34"/>
      <c r="F72" s="35"/>
      <c r="G72" s="36"/>
      <c r="H72" s="37"/>
      <c r="I72" s="37"/>
      <c r="J72" s="37"/>
      <c r="K72" s="37"/>
      <c r="L72" s="38" t="str">
        <f aca="false">IFERROR(VLOOKUP($C72,Settings!$A$9:$C$28,2,FALSE()),"")</f>
        <v/>
      </c>
      <c r="M72" s="39" t="str">
        <f aca="false">IFERROR(VLOOKUP($C72,Settings!$A$9:$C$28,3,FALSE()),"")</f>
        <v/>
      </c>
      <c r="N72" s="40" t="str">
        <f aca="false">IF(OR($H72="",$I72=""),"",IFERROR(ABS(H72-I72)/L72,""))</f>
        <v/>
      </c>
      <c r="O72" s="40" t="str">
        <f aca="false">IF(OR($H72="",$J72=""),"",IFERROR(ABS(J72-H72)/L72,""))</f>
        <v/>
      </c>
      <c r="P72" s="41" t="str">
        <f aca="false">IF(OR(N72="",O72="",N72=0),"",O72/N72)</f>
        <v/>
      </c>
      <c r="Q72" s="40" t="str">
        <f aca="false">IF(OR($H72="",$K72=""),"",IFERROR(((K72-H72)/L72)*IF($D72="Buy",1,-1),""))</f>
        <v/>
      </c>
      <c r="R72" s="42" t="str">
        <f aca="false">IF(OR(N72="",$G72=""),"",IFERROR(N72*M72*G72,""))</f>
        <v/>
      </c>
      <c r="S72" s="42" t="str">
        <f aca="false">IF(OR(Q72="",$G72=""),"",IFERROR(Q72*M72*G72,""))</f>
        <v/>
      </c>
      <c r="T72" s="41" t="str">
        <f aca="false">IF(OR(S72="",R72="",R72=0),"",S72/R72)</f>
        <v/>
      </c>
      <c r="U72" s="43" t="str">
        <f aca="false">IF(S72="","",IF(S72&gt;0,"Win",IF(S72&lt;0,"Loss","BE")))</f>
        <v/>
      </c>
      <c r="V72" s="44" t="str">
        <f aca="false">IF(OR($H72="",R72=""),"",IFERROR(R72/(W72-S72),""))</f>
        <v/>
      </c>
      <c r="W72" s="45" t="str">
        <f aca="false">IF($H72="","",Settings!$B$3+SUM($S$2:S72))</f>
        <v/>
      </c>
      <c r="X72" s="45" t="str">
        <f aca="false">IF($H72="","",MAX(Settings!$B$3,MAX($W$2:W72)))</f>
        <v/>
      </c>
      <c r="Y72" s="44" t="str">
        <f aca="false">IF(OR($H72="",X72=""),"",IFERROR((W72-X72)/X72,""))</f>
        <v/>
      </c>
      <c r="Z72" s="35"/>
    </row>
    <row r="73" customFormat="false" ht="15" hidden="false" customHeight="true" outlineLevel="0" collapsed="false">
      <c r="A73" s="34" t="str">
        <f aca="false">IF($H73="","",ROW()-1)</f>
        <v/>
      </c>
      <c r="B73" s="35"/>
      <c r="C73" s="35"/>
      <c r="D73" s="34"/>
      <c r="E73" s="34"/>
      <c r="F73" s="35"/>
      <c r="G73" s="36"/>
      <c r="H73" s="37"/>
      <c r="I73" s="37"/>
      <c r="J73" s="37"/>
      <c r="K73" s="37"/>
      <c r="L73" s="38" t="str">
        <f aca="false">IFERROR(VLOOKUP($C73,Settings!$A$9:$C$28,2,FALSE()),"")</f>
        <v/>
      </c>
      <c r="M73" s="39" t="str">
        <f aca="false">IFERROR(VLOOKUP($C73,Settings!$A$9:$C$28,3,FALSE()),"")</f>
        <v/>
      </c>
      <c r="N73" s="40" t="str">
        <f aca="false">IF(OR($H73="",$I73=""),"",IFERROR(ABS(H73-I73)/L73,""))</f>
        <v/>
      </c>
      <c r="O73" s="40" t="str">
        <f aca="false">IF(OR($H73="",$J73=""),"",IFERROR(ABS(J73-H73)/L73,""))</f>
        <v/>
      </c>
      <c r="P73" s="41" t="str">
        <f aca="false">IF(OR(N73="",O73="",N73=0),"",O73/N73)</f>
        <v/>
      </c>
      <c r="Q73" s="40" t="str">
        <f aca="false">IF(OR($H73="",$K73=""),"",IFERROR(((K73-H73)/L73)*IF($D73="Buy",1,-1),""))</f>
        <v/>
      </c>
      <c r="R73" s="42" t="str">
        <f aca="false">IF(OR(N73="",$G73=""),"",IFERROR(N73*M73*G73,""))</f>
        <v/>
      </c>
      <c r="S73" s="42" t="str">
        <f aca="false">IF(OR(Q73="",$G73=""),"",IFERROR(Q73*M73*G73,""))</f>
        <v/>
      </c>
      <c r="T73" s="41" t="str">
        <f aca="false">IF(OR(S73="",R73="",R73=0),"",S73/R73)</f>
        <v/>
      </c>
      <c r="U73" s="43" t="str">
        <f aca="false">IF(S73="","",IF(S73&gt;0,"Win",IF(S73&lt;0,"Loss","BE")))</f>
        <v/>
      </c>
      <c r="V73" s="44" t="str">
        <f aca="false">IF(OR($H73="",R73=""),"",IFERROR(R73/(W73-S73),""))</f>
        <v/>
      </c>
      <c r="W73" s="45" t="str">
        <f aca="false">IF($H73="","",Settings!$B$3+SUM($S$2:S73))</f>
        <v/>
      </c>
      <c r="X73" s="45" t="str">
        <f aca="false">IF($H73="","",MAX(Settings!$B$3,MAX($W$2:W73)))</f>
        <v/>
      </c>
      <c r="Y73" s="44" t="str">
        <f aca="false">IF(OR($H73="",X73=""),"",IFERROR((W73-X73)/X73,""))</f>
        <v/>
      </c>
      <c r="Z73" s="35"/>
    </row>
    <row r="74" customFormat="false" ht="15" hidden="false" customHeight="true" outlineLevel="0" collapsed="false">
      <c r="A74" s="34" t="str">
        <f aca="false">IF($H74="","",ROW()-1)</f>
        <v/>
      </c>
      <c r="B74" s="35"/>
      <c r="C74" s="35"/>
      <c r="D74" s="34"/>
      <c r="E74" s="34"/>
      <c r="F74" s="35"/>
      <c r="G74" s="36"/>
      <c r="H74" s="37"/>
      <c r="I74" s="37"/>
      <c r="J74" s="37"/>
      <c r="K74" s="37"/>
      <c r="L74" s="38" t="str">
        <f aca="false">IFERROR(VLOOKUP($C74,Settings!$A$9:$C$28,2,FALSE()),"")</f>
        <v/>
      </c>
      <c r="M74" s="39" t="str">
        <f aca="false">IFERROR(VLOOKUP($C74,Settings!$A$9:$C$28,3,FALSE()),"")</f>
        <v/>
      </c>
      <c r="N74" s="40" t="str">
        <f aca="false">IF(OR($H74="",$I74=""),"",IFERROR(ABS(H74-I74)/L74,""))</f>
        <v/>
      </c>
      <c r="O74" s="40" t="str">
        <f aca="false">IF(OR($H74="",$J74=""),"",IFERROR(ABS(J74-H74)/L74,""))</f>
        <v/>
      </c>
      <c r="P74" s="41" t="str">
        <f aca="false">IF(OR(N74="",O74="",N74=0),"",O74/N74)</f>
        <v/>
      </c>
      <c r="Q74" s="40" t="str">
        <f aca="false">IF(OR($H74="",$K74=""),"",IFERROR(((K74-H74)/L74)*IF($D74="Buy",1,-1),""))</f>
        <v/>
      </c>
      <c r="R74" s="42" t="str">
        <f aca="false">IF(OR(N74="",$G74=""),"",IFERROR(N74*M74*G74,""))</f>
        <v/>
      </c>
      <c r="S74" s="42" t="str">
        <f aca="false">IF(OR(Q74="",$G74=""),"",IFERROR(Q74*M74*G74,""))</f>
        <v/>
      </c>
      <c r="T74" s="41" t="str">
        <f aca="false">IF(OR(S74="",R74="",R74=0),"",S74/R74)</f>
        <v/>
      </c>
      <c r="U74" s="43" t="str">
        <f aca="false">IF(S74="","",IF(S74&gt;0,"Win",IF(S74&lt;0,"Loss","BE")))</f>
        <v/>
      </c>
      <c r="V74" s="44" t="str">
        <f aca="false">IF(OR($H74="",R74=""),"",IFERROR(R74/(W74-S74),""))</f>
        <v/>
      </c>
      <c r="W74" s="45" t="str">
        <f aca="false">IF($H74="","",Settings!$B$3+SUM($S$2:S74))</f>
        <v/>
      </c>
      <c r="X74" s="45" t="str">
        <f aca="false">IF($H74="","",MAX(Settings!$B$3,MAX($W$2:W74)))</f>
        <v/>
      </c>
      <c r="Y74" s="44" t="str">
        <f aca="false">IF(OR($H74="",X74=""),"",IFERROR((W74-X74)/X74,""))</f>
        <v/>
      </c>
      <c r="Z74" s="35"/>
    </row>
    <row r="75" customFormat="false" ht="15" hidden="false" customHeight="true" outlineLevel="0" collapsed="false">
      <c r="A75" s="34" t="str">
        <f aca="false">IF($H75="","",ROW()-1)</f>
        <v/>
      </c>
      <c r="B75" s="35"/>
      <c r="C75" s="35"/>
      <c r="D75" s="34"/>
      <c r="E75" s="34"/>
      <c r="F75" s="35"/>
      <c r="G75" s="36"/>
      <c r="H75" s="37"/>
      <c r="I75" s="37"/>
      <c r="J75" s="37"/>
      <c r="K75" s="37"/>
      <c r="L75" s="38" t="str">
        <f aca="false">IFERROR(VLOOKUP($C75,Settings!$A$9:$C$28,2,FALSE()),"")</f>
        <v/>
      </c>
      <c r="M75" s="39" t="str">
        <f aca="false">IFERROR(VLOOKUP($C75,Settings!$A$9:$C$28,3,FALSE()),"")</f>
        <v/>
      </c>
      <c r="N75" s="40" t="str">
        <f aca="false">IF(OR($H75="",$I75=""),"",IFERROR(ABS(H75-I75)/L75,""))</f>
        <v/>
      </c>
      <c r="O75" s="40" t="str">
        <f aca="false">IF(OR($H75="",$J75=""),"",IFERROR(ABS(J75-H75)/L75,""))</f>
        <v/>
      </c>
      <c r="P75" s="41" t="str">
        <f aca="false">IF(OR(N75="",O75="",N75=0),"",O75/N75)</f>
        <v/>
      </c>
      <c r="Q75" s="40" t="str">
        <f aca="false">IF(OR($H75="",$K75=""),"",IFERROR(((K75-H75)/L75)*IF($D75="Buy",1,-1),""))</f>
        <v/>
      </c>
      <c r="R75" s="42" t="str">
        <f aca="false">IF(OR(N75="",$G75=""),"",IFERROR(N75*M75*G75,""))</f>
        <v/>
      </c>
      <c r="S75" s="42" t="str">
        <f aca="false">IF(OR(Q75="",$G75=""),"",IFERROR(Q75*M75*G75,""))</f>
        <v/>
      </c>
      <c r="T75" s="41" t="str">
        <f aca="false">IF(OR(S75="",R75="",R75=0),"",S75/R75)</f>
        <v/>
      </c>
      <c r="U75" s="43" t="str">
        <f aca="false">IF(S75="","",IF(S75&gt;0,"Win",IF(S75&lt;0,"Loss","BE")))</f>
        <v/>
      </c>
      <c r="V75" s="44" t="str">
        <f aca="false">IF(OR($H75="",R75=""),"",IFERROR(R75/(W75-S75),""))</f>
        <v/>
      </c>
      <c r="W75" s="45" t="str">
        <f aca="false">IF($H75="","",Settings!$B$3+SUM($S$2:S75))</f>
        <v/>
      </c>
      <c r="X75" s="45" t="str">
        <f aca="false">IF($H75="","",MAX(Settings!$B$3,MAX($W$2:W75)))</f>
        <v/>
      </c>
      <c r="Y75" s="44" t="str">
        <f aca="false">IF(OR($H75="",X75=""),"",IFERROR((W75-X75)/X75,""))</f>
        <v/>
      </c>
      <c r="Z75" s="35"/>
    </row>
    <row r="76" customFormat="false" ht="15" hidden="false" customHeight="true" outlineLevel="0" collapsed="false">
      <c r="A76" s="34" t="str">
        <f aca="false">IF($H76="","",ROW()-1)</f>
        <v/>
      </c>
      <c r="B76" s="35"/>
      <c r="C76" s="35"/>
      <c r="D76" s="34"/>
      <c r="E76" s="34"/>
      <c r="F76" s="35"/>
      <c r="G76" s="36"/>
      <c r="H76" s="37"/>
      <c r="I76" s="37"/>
      <c r="J76" s="37"/>
      <c r="K76" s="37"/>
      <c r="L76" s="38" t="str">
        <f aca="false">IFERROR(VLOOKUP($C76,Settings!$A$9:$C$28,2,FALSE()),"")</f>
        <v/>
      </c>
      <c r="M76" s="39" t="str">
        <f aca="false">IFERROR(VLOOKUP($C76,Settings!$A$9:$C$28,3,FALSE()),"")</f>
        <v/>
      </c>
      <c r="N76" s="40" t="str">
        <f aca="false">IF(OR($H76="",$I76=""),"",IFERROR(ABS(H76-I76)/L76,""))</f>
        <v/>
      </c>
      <c r="O76" s="40" t="str">
        <f aca="false">IF(OR($H76="",$J76=""),"",IFERROR(ABS(J76-H76)/L76,""))</f>
        <v/>
      </c>
      <c r="P76" s="41" t="str">
        <f aca="false">IF(OR(N76="",O76="",N76=0),"",O76/N76)</f>
        <v/>
      </c>
      <c r="Q76" s="40" t="str">
        <f aca="false">IF(OR($H76="",$K76=""),"",IFERROR(((K76-H76)/L76)*IF($D76="Buy",1,-1),""))</f>
        <v/>
      </c>
      <c r="R76" s="42" t="str">
        <f aca="false">IF(OR(N76="",$G76=""),"",IFERROR(N76*M76*G76,""))</f>
        <v/>
      </c>
      <c r="S76" s="42" t="str">
        <f aca="false">IF(OR(Q76="",$G76=""),"",IFERROR(Q76*M76*G76,""))</f>
        <v/>
      </c>
      <c r="T76" s="41" t="str">
        <f aca="false">IF(OR(S76="",R76="",R76=0),"",S76/R76)</f>
        <v/>
      </c>
      <c r="U76" s="43" t="str">
        <f aca="false">IF(S76="","",IF(S76&gt;0,"Win",IF(S76&lt;0,"Loss","BE")))</f>
        <v/>
      </c>
      <c r="V76" s="44" t="str">
        <f aca="false">IF(OR($H76="",R76=""),"",IFERROR(R76/(W76-S76),""))</f>
        <v/>
      </c>
      <c r="W76" s="45" t="str">
        <f aca="false">IF($H76="","",Settings!$B$3+SUM($S$2:S76))</f>
        <v/>
      </c>
      <c r="X76" s="45" t="str">
        <f aca="false">IF($H76="","",MAX(Settings!$B$3,MAX($W$2:W76)))</f>
        <v/>
      </c>
      <c r="Y76" s="44" t="str">
        <f aca="false">IF(OR($H76="",X76=""),"",IFERROR((W76-X76)/X76,""))</f>
        <v/>
      </c>
      <c r="Z76" s="35"/>
    </row>
    <row r="77" customFormat="false" ht="15" hidden="false" customHeight="true" outlineLevel="0" collapsed="false">
      <c r="A77" s="34" t="str">
        <f aca="false">IF($H77="","",ROW()-1)</f>
        <v/>
      </c>
      <c r="B77" s="35"/>
      <c r="C77" s="35"/>
      <c r="D77" s="34"/>
      <c r="E77" s="34"/>
      <c r="F77" s="35"/>
      <c r="G77" s="36"/>
      <c r="H77" s="37"/>
      <c r="I77" s="37"/>
      <c r="J77" s="37"/>
      <c r="K77" s="37"/>
      <c r="L77" s="38" t="str">
        <f aca="false">IFERROR(VLOOKUP($C77,Settings!$A$9:$C$28,2,FALSE()),"")</f>
        <v/>
      </c>
      <c r="M77" s="39" t="str">
        <f aca="false">IFERROR(VLOOKUP($C77,Settings!$A$9:$C$28,3,FALSE()),"")</f>
        <v/>
      </c>
      <c r="N77" s="40" t="str">
        <f aca="false">IF(OR($H77="",$I77=""),"",IFERROR(ABS(H77-I77)/L77,""))</f>
        <v/>
      </c>
      <c r="O77" s="40" t="str">
        <f aca="false">IF(OR($H77="",$J77=""),"",IFERROR(ABS(J77-H77)/L77,""))</f>
        <v/>
      </c>
      <c r="P77" s="41" t="str">
        <f aca="false">IF(OR(N77="",O77="",N77=0),"",O77/N77)</f>
        <v/>
      </c>
      <c r="Q77" s="40" t="str">
        <f aca="false">IF(OR($H77="",$K77=""),"",IFERROR(((K77-H77)/L77)*IF($D77="Buy",1,-1),""))</f>
        <v/>
      </c>
      <c r="R77" s="42" t="str">
        <f aca="false">IF(OR(N77="",$G77=""),"",IFERROR(N77*M77*G77,""))</f>
        <v/>
      </c>
      <c r="S77" s="42" t="str">
        <f aca="false">IF(OR(Q77="",$G77=""),"",IFERROR(Q77*M77*G77,""))</f>
        <v/>
      </c>
      <c r="T77" s="41" t="str">
        <f aca="false">IF(OR(S77="",R77="",R77=0),"",S77/R77)</f>
        <v/>
      </c>
      <c r="U77" s="43" t="str">
        <f aca="false">IF(S77="","",IF(S77&gt;0,"Win",IF(S77&lt;0,"Loss","BE")))</f>
        <v/>
      </c>
      <c r="V77" s="44" t="str">
        <f aca="false">IF(OR($H77="",R77=""),"",IFERROR(R77/(W77-S77),""))</f>
        <v/>
      </c>
      <c r="W77" s="45" t="str">
        <f aca="false">IF($H77="","",Settings!$B$3+SUM($S$2:S77))</f>
        <v/>
      </c>
      <c r="X77" s="45" t="str">
        <f aca="false">IF($H77="","",MAX(Settings!$B$3,MAX($W$2:W77)))</f>
        <v/>
      </c>
      <c r="Y77" s="44" t="str">
        <f aca="false">IF(OR($H77="",X77=""),"",IFERROR((W77-X77)/X77,""))</f>
        <v/>
      </c>
      <c r="Z77" s="35"/>
    </row>
    <row r="78" customFormat="false" ht="15" hidden="false" customHeight="true" outlineLevel="0" collapsed="false">
      <c r="A78" s="34" t="str">
        <f aca="false">IF($H78="","",ROW()-1)</f>
        <v/>
      </c>
      <c r="B78" s="35"/>
      <c r="C78" s="35"/>
      <c r="D78" s="34"/>
      <c r="E78" s="34"/>
      <c r="F78" s="35"/>
      <c r="G78" s="36"/>
      <c r="H78" s="37"/>
      <c r="I78" s="37"/>
      <c r="J78" s="37"/>
      <c r="K78" s="37"/>
      <c r="L78" s="38" t="str">
        <f aca="false">IFERROR(VLOOKUP($C78,Settings!$A$9:$C$28,2,FALSE()),"")</f>
        <v/>
      </c>
      <c r="M78" s="39" t="str">
        <f aca="false">IFERROR(VLOOKUP($C78,Settings!$A$9:$C$28,3,FALSE()),"")</f>
        <v/>
      </c>
      <c r="N78" s="40" t="str">
        <f aca="false">IF(OR($H78="",$I78=""),"",IFERROR(ABS(H78-I78)/L78,""))</f>
        <v/>
      </c>
      <c r="O78" s="40" t="str">
        <f aca="false">IF(OR($H78="",$J78=""),"",IFERROR(ABS(J78-H78)/L78,""))</f>
        <v/>
      </c>
      <c r="P78" s="41" t="str">
        <f aca="false">IF(OR(N78="",O78="",N78=0),"",O78/N78)</f>
        <v/>
      </c>
      <c r="Q78" s="40" t="str">
        <f aca="false">IF(OR($H78="",$K78=""),"",IFERROR(((K78-H78)/L78)*IF($D78="Buy",1,-1),""))</f>
        <v/>
      </c>
      <c r="R78" s="42" t="str">
        <f aca="false">IF(OR(N78="",$G78=""),"",IFERROR(N78*M78*G78,""))</f>
        <v/>
      </c>
      <c r="S78" s="42" t="str">
        <f aca="false">IF(OR(Q78="",$G78=""),"",IFERROR(Q78*M78*G78,""))</f>
        <v/>
      </c>
      <c r="T78" s="41" t="str">
        <f aca="false">IF(OR(S78="",R78="",R78=0),"",S78/R78)</f>
        <v/>
      </c>
      <c r="U78" s="43" t="str">
        <f aca="false">IF(S78="","",IF(S78&gt;0,"Win",IF(S78&lt;0,"Loss","BE")))</f>
        <v/>
      </c>
      <c r="V78" s="44" t="str">
        <f aca="false">IF(OR($H78="",R78=""),"",IFERROR(R78/(W78-S78),""))</f>
        <v/>
      </c>
      <c r="W78" s="45" t="str">
        <f aca="false">IF($H78="","",Settings!$B$3+SUM($S$2:S78))</f>
        <v/>
      </c>
      <c r="X78" s="45" t="str">
        <f aca="false">IF($H78="","",MAX(Settings!$B$3,MAX($W$2:W78)))</f>
        <v/>
      </c>
      <c r="Y78" s="44" t="str">
        <f aca="false">IF(OR($H78="",X78=""),"",IFERROR((W78-X78)/X78,""))</f>
        <v/>
      </c>
      <c r="Z78" s="35"/>
    </row>
    <row r="79" customFormat="false" ht="15" hidden="false" customHeight="true" outlineLevel="0" collapsed="false">
      <c r="A79" s="34" t="str">
        <f aca="false">IF($H79="","",ROW()-1)</f>
        <v/>
      </c>
      <c r="B79" s="35"/>
      <c r="C79" s="35"/>
      <c r="D79" s="34"/>
      <c r="E79" s="34"/>
      <c r="F79" s="35"/>
      <c r="G79" s="36"/>
      <c r="H79" s="37"/>
      <c r="I79" s="37"/>
      <c r="J79" s="37"/>
      <c r="K79" s="37"/>
      <c r="L79" s="38" t="str">
        <f aca="false">IFERROR(VLOOKUP($C79,Settings!$A$9:$C$28,2,FALSE()),"")</f>
        <v/>
      </c>
      <c r="M79" s="39" t="str">
        <f aca="false">IFERROR(VLOOKUP($C79,Settings!$A$9:$C$28,3,FALSE()),"")</f>
        <v/>
      </c>
      <c r="N79" s="40" t="str">
        <f aca="false">IF(OR($H79="",$I79=""),"",IFERROR(ABS(H79-I79)/L79,""))</f>
        <v/>
      </c>
      <c r="O79" s="40" t="str">
        <f aca="false">IF(OR($H79="",$J79=""),"",IFERROR(ABS(J79-H79)/L79,""))</f>
        <v/>
      </c>
      <c r="P79" s="41" t="str">
        <f aca="false">IF(OR(N79="",O79="",N79=0),"",O79/N79)</f>
        <v/>
      </c>
      <c r="Q79" s="40" t="str">
        <f aca="false">IF(OR($H79="",$K79=""),"",IFERROR(((K79-H79)/L79)*IF($D79="Buy",1,-1),""))</f>
        <v/>
      </c>
      <c r="R79" s="42" t="str">
        <f aca="false">IF(OR(N79="",$G79=""),"",IFERROR(N79*M79*G79,""))</f>
        <v/>
      </c>
      <c r="S79" s="42" t="str">
        <f aca="false">IF(OR(Q79="",$G79=""),"",IFERROR(Q79*M79*G79,""))</f>
        <v/>
      </c>
      <c r="T79" s="41" t="str">
        <f aca="false">IF(OR(S79="",R79="",R79=0),"",S79/R79)</f>
        <v/>
      </c>
      <c r="U79" s="43" t="str">
        <f aca="false">IF(S79="","",IF(S79&gt;0,"Win",IF(S79&lt;0,"Loss","BE")))</f>
        <v/>
      </c>
      <c r="V79" s="44" t="str">
        <f aca="false">IF(OR($H79="",R79=""),"",IFERROR(R79/(W79-S79),""))</f>
        <v/>
      </c>
      <c r="W79" s="45" t="str">
        <f aca="false">IF($H79="","",Settings!$B$3+SUM($S$2:S79))</f>
        <v/>
      </c>
      <c r="X79" s="45" t="str">
        <f aca="false">IF($H79="","",MAX(Settings!$B$3,MAX($W$2:W79)))</f>
        <v/>
      </c>
      <c r="Y79" s="44" t="str">
        <f aca="false">IF(OR($H79="",X79=""),"",IFERROR((W79-X79)/X79,""))</f>
        <v/>
      </c>
      <c r="Z79" s="35"/>
    </row>
    <row r="80" customFormat="false" ht="15" hidden="false" customHeight="true" outlineLevel="0" collapsed="false">
      <c r="A80" s="34" t="str">
        <f aca="false">IF($H80="","",ROW()-1)</f>
        <v/>
      </c>
      <c r="B80" s="35"/>
      <c r="C80" s="35"/>
      <c r="D80" s="34"/>
      <c r="E80" s="34"/>
      <c r="F80" s="35"/>
      <c r="G80" s="36"/>
      <c r="H80" s="37"/>
      <c r="I80" s="37"/>
      <c r="J80" s="37"/>
      <c r="K80" s="37"/>
      <c r="L80" s="38" t="str">
        <f aca="false">IFERROR(VLOOKUP($C80,Settings!$A$9:$C$28,2,FALSE()),"")</f>
        <v/>
      </c>
      <c r="M80" s="39" t="str">
        <f aca="false">IFERROR(VLOOKUP($C80,Settings!$A$9:$C$28,3,FALSE()),"")</f>
        <v/>
      </c>
      <c r="N80" s="40" t="str">
        <f aca="false">IF(OR($H80="",$I80=""),"",IFERROR(ABS(H80-I80)/L80,""))</f>
        <v/>
      </c>
      <c r="O80" s="40" t="str">
        <f aca="false">IF(OR($H80="",$J80=""),"",IFERROR(ABS(J80-H80)/L80,""))</f>
        <v/>
      </c>
      <c r="P80" s="41" t="str">
        <f aca="false">IF(OR(N80="",O80="",N80=0),"",O80/N80)</f>
        <v/>
      </c>
      <c r="Q80" s="40" t="str">
        <f aca="false">IF(OR($H80="",$K80=""),"",IFERROR(((K80-H80)/L80)*IF($D80="Buy",1,-1),""))</f>
        <v/>
      </c>
      <c r="R80" s="42" t="str">
        <f aca="false">IF(OR(N80="",$G80=""),"",IFERROR(N80*M80*G80,""))</f>
        <v/>
      </c>
      <c r="S80" s="42" t="str">
        <f aca="false">IF(OR(Q80="",$G80=""),"",IFERROR(Q80*M80*G80,""))</f>
        <v/>
      </c>
      <c r="T80" s="41" t="str">
        <f aca="false">IF(OR(S80="",R80="",R80=0),"",S80/R80)</f>
        <v/>
      </c>
      <c r="U80" s="43" t="str">
        <f aca="false">IF(S80="","",IF(S80&gt;0,"Win",IF(S80&lt;0,"Loss","BE")))</f>
        <v/>
      </c>
      <c r="V80" s="44" t="str">
        <f aca="false">IF(OR($H80="",R80=""),"",IFERROR(R80/(W80-S80),""))</f>
        <v/>
      </c>
      <c r="W80" s="45" t="str">
        <f aca="false">IF($H80="","",Settings!$B$3+SUM($S$2:S80))</f>
        <v/>
      </c>
      <c r="X80" s="45" t="str">
        <f aca="false">IF($H80="","",MAX(Settings!$B$3,MAX($W$2:W80)))</f>
        <v/>
      </c>
      <c r="Y80" s="44" t="str">
        <f aca="false">IF(OR($H80="",X80=""),"",IFERROR((W80-X80)/X80,""))</f>
        <v/>
      </c>
      <c r="Z80" s="35"/>
    </row>
    <row r="81" customFormat="false" ht="15" hidden="false" customHeight="true" outlineLevel="0" collapsed="false">
      <c r="A81" s="34" t="str">
        <f aca="false">IF($H81="","",ROW()-1)</f>
        <v/>
      </c>
      <c r="B81" s="35"/>
      <c r="C81" s="35"/>
      <c r="D81" s="34"/>
      <c r="E81" s="34"/>
      <c r="F81" s="35"/>
      <c r="G81" s="36"/>
      <c r="H81" s="37"/>
      <c r="I81" s="37"/>
      <c r="J81" s="37"/>
      <c r="K81" s="37"/>
      <c r="L81" s="38" t="str">
        <f aca="false">IFERROR(VLOOKUP($C81,Settings!$A$9:$C$28,2,FALSE()),"")</f>
        <v/>
      </c>
      <c r="M81" s="39" t="str">
        <f aca="false">IFERROR(VLOOKUP($C81,Settings!$A$9:$C$28,3,FALSE()),"")</f>
        <v/>
      </c>
      <c r="N81" s="40" t="str">
        <f aca="false">IF(OR($H81="",$I81=""),"",IFERROR(ABS(H81-I81)/L81,""))</f>
        <v/>
      </c>
      <c r="O81" s="40" t="str">
        <f aca="false">IF(OR($H81="",$J81=""),"",IFERROR(ABS(J81-H81)/L81,""))</f>
        <v/>
      </c>
      <c r="P81" s="41" t="str">
        <f aca="false">IF(OR(N81="",O81="",N81=0),"",O81/N81)</f>
        <v/>
      </c>
      <c r="Q81" s="40" t="str">
        <f aca="false">IF(OR($H81="",$K81=""),"",IFERROR(((K81-H81)/L81)*IF($D81="Buy",1,-1),""))</f>
        <v/>
      </c>
      <c r="R81" s="42" t="str">
        <f aca="false">IF(OR(N81="",$G81=""),"",IFERROR(N81*M81*G81,""))</f>
        <v/>
      </c>
      <c r="S81" s="42" t="str">
        <f aca="false">IF(OR(Q81="",$G81=""),"",IFERROR(Q81*M81*G81,""))</f>
        <v/>
      </c>
      <c r="T81" s="41" t="str">
        <f aca="false">IF(OR(S81="",R81="",R81=0),"",S81/R81)</f>
        <v/>
      </c>
      <c r="U81" s="43" t="str">
        <f aca="false">IF(S81="","",IF(S81&gt;0,"Win",IF(S81&lt;0,"Loss","BE")))</f>
        <v/>
      </c>
      <c r="V81" s="44" t="str">
        <f aca="false">IF(OR($H81="",R81=""),"",IFERROR(R81/(W81-S81),""))</f>
        <v/>
      </c>
      <c r="W81" s="45" t="str">
        <f aca="false">IF($H81="","",Settings!$B$3+SUM($S$2:S81))</f>
        <v/>
      </c>
      <c r="X81" s="45" t="str">
        <f aca="false">IF($H81="","",MAX(Settings!$B$3,MAX($W$2:W81)))</f>
        <v/>
      </c>
      <c r="Y81" s="44" t="str">
        <f aca="false">IF(OR($H81="",X81=""),"",IFERROR((W81-X81)/X81,""))</f>
        <v/>
      </c>
      <c r="Z81" s="35"/>
    </row>
    <row r="82" customFormat="false" ht="15" hidden="false" customHeight="true" outlineLevel="0" collapsed="false">
      <c r="A82" s="34" t="str">
        <f aca="false">IF($H82="","",ROW()-1)</f>
        <v/>
      </c>
      <c r="B82" s="35"/>
      <c r="C82" s="35"/>
      <c r="D82" s="34"/>
      <c r="E82" s="34"/>
      <c r="F82" s="35"/>
      <c r="G82" s="36"/>
      <c r="H82" s="37"/>
      <c r="I82" s="37"/>
      <c r="J82" s="37"/>
      <c r="K82" s="37"/>
      <c r="L82" s="38" t="str">
        <f aca="false">IFERROR(VLOOKUP($C82,Settings!$A$9:$C$28,2,FALSE()),"")</f>
        <v/>
      </c>
      <c r="M82" s="39" t="str">
        <f aca="false">IFERROR(VLOOKUP($C82,Settings!$A$9:$C$28,3,FALSE()),"")</f>
        <v/>
      </c>
      <c r="N82" s="40" t="str">
        <f aca="false">IF(OR($H82="",$I82=""),"",IFERROR(ABS(H82-I82)/L82,""))</f>
        <v/>
      </c>
      <c r="O82" s="40" t="str">
        <f aca="false">IF(OR($H82="",$J82=""),"",IFERROR(ABS(J82-H82)/L82,""))</f>
        <v/>
      </c>
      <c r="P82" s="41" t="str">
        <f aca="false">IF(OR(N82="",O82="",N82=0),"",O82/N82)</f>
        <v/>
      </c>
      <c r="Q82" s="40" t="str">
        <f aca="false">IF(OR($H82="",$K82=""),"",IFERROR(((K82-H82)/L82)*IF($D82="Buy",1,-1),""))</f>
        <v/>
      </c>
      <c r="R82" s="42" t="str">
        <f aca="false">IF(OR(N82="",$G82=""),"",IFERROR(N82*M82*G82,""))</f>
        <v/>
      </c>
      <c r="S82" s="42" t="str">
        <f aca="false">IF(OR(Q82="",$G82=""),"",IFERROR(Q82*M82*G82,""))</f>
        <v/>
      </c>
      <c r="T82" s="41" t="str">
        <f aca="false">IF(OR(S82="",R82="",R82=0),"",S82/R82)</f>
        <v/>
      </c>
      <c r="U82" s="43" t="str">
        <f aca="false">IF(S82="","",IF(S82&gt;0,"Win",IF(S82&lt;0,"Loss","BE")))</f>
        <v/>
      </c>
      <c r="V82" s="44" t="str">
        <f aca="false">IF(OR($H82="",R82=""),"",IFERROR(R82/(W82-S82),""))</f>
        <v/>
      </c>
      <c r="W82" s="45" t="str">
        <f aca="false">IF($H82="","",Settings!$B$3+SUM($S$2:S82))</f>
        <v/>
      </c>
      <c r="X82" s="45" t="str">
        <f aca="false">IF($H82="","",MAX(Settings!$B$3,MAX($W$2:W82)))</f>
        <v/>
      </c>
      <c r="Y82" s="44" t="str">
        <f aca="false">IF(OR($H82="",X82=""),"",IFERROR((W82-X82)/X82,""))</f>
        <v/>
      </c>
      <c r="Z82" s="35"/>
    </row>
    <row r="83" customFormat="false" ht="15" hidden="false" customHeight="true" outlineLevel="0" collapsed="false">
      <c r="A83" s="34" t="str">
        <f aca="false">IF($H83="","",ROW()-1)</f>
        <v/>
      </c>
      <c r="B83" s="35"/>
      <c r="C83" s="35"/>
      <c r="D83" s="34"/>
      <c r="E83" s="34"/>
      <c r="F83" s="35"/>
      <c r="G83" s="36"/>
      <c r="H83" s="37"/>
      <c r="I83" s="37"/>
      <c r="J83" s="37"/>
      <c r="K83" s="37"/>
      <c r="L83" s="38" t="str">
        <f aca="false">IFERROR(VLOOKUP($C83,Settings!$A$9:$C$28,2,FALSE()),"")</f>
        <v/>
      </c>
      <c r="M83" s="39" t="str">
        <f aca="false">IFERROR(VLOOKUP($C83,Settings!$A$9:$C$28,3,FALSE()),"")</f>
        <v/>
      </c>
      <c r="N83" s="40" t="str">
        <f aca="false">IF(OR($H83="",$I83=""),"",IFERROR(ABS(H83-I83)/L83,""))</f>
        <v/>
      </c>
      <c r="O83" s="40" t="str">
        <f aca="false">IF(OR($H83="",$J83=""),"",IFERROR(ABS(J83-H83)/L83,""))</f>
        <v/>
      </c>
      <c r="P83" s="41" t="str">
        <f aca="false">IF(OR(N83="",O83="",N83=0),"",O83/N83)</f>
        <v/>
      </c>
      <c r="Q83" s="40" t="str">
        <f aca="false">IF(OR($H83="",$K83=""),"",IFERROR(((K83-H83)/L83)*IF($D83="Buy",1,-1),""))</f>
        <v/>
      </c>
      <c r="R83" s="42" t="str">
        <f aca="false">IF(OR(N83="",$G83=""),"",IFERROR(N83*M83*G83,""))</f>
        <v/>
      </c>
      <c r="S83" s="42" t="str">
        <f aca="false">IF(OR(Q83="",$G83=""),"",IFERROR(Q83*M83*G83,""))</f>
        <v/>
      </c>
      <c r="T83" s="41" t="str">
        <f aca="false">IF(OR(S83="",R83="",R83=0),"",S83/R83)</f>
        <v/>
      </c>
      <c r="U83" s="43" t="str">
        <f aca="false">IF(S83="","",IF(S83&gt;0,"Win",IF(S83&lt;0,"Loss","BE")))</f>
        <v/>
      </c>
      <c r="V83" s="44" t="str">
        <f aca="false">IF(OR($H83="",R83=""),"",IFERROR(R83/(W83-S83),""))</f>
        <v/>
      </c>
      <c r="W83" s="45" t="str">
        <f aca="false">IF($H83="","",Settings!$B$3+SUM($S$2:S83))</f>
        <v/>
      </c>
      <c r="X83" s="45" t="str">
        <f aca="false">IF($H83="","",MAX(Settings!$B$3,MAX($W$2:W83)))</f>
        <v/>
      </c>
      <c r="Y83" s="44" t="str">
        <f aca="false">IF(OR($H83="",X83=""),"",IFERROR((W83-X83)/X83,""))</f>
        <v/>
      </c>
      <c r="Z83" s="35"/>
    </row>
    <row r="84" customFormat="false" ht="15" hidden="false" customHeight="true" outlineLevel="0" collapsed="false">
      <c r="A84" s="34" t="str">
        <f aca="false">IF($H84="","",ROW()-1)</f>
        <v/>
      </c>
      <c r="B84" s="35"/>
      <c r="C84" s="35"/>
      <c r="D84" s="34"/>
      <c r="E84" s="34"/>
      <c r="F84" s="35"/>
      <c r="G84" s="36"/>
      <c r="H84" s="37"/>
      <c r="I84" s="37"/>
      <c r="J84" s="37"/>
      <c r="K84" s="37"/>
      <c r="L84" s="38" t="str">
        <f aca="false">IFERROR(VLOOKUP($C84,Settings!$A$9:$C$28,2,FALSE()),"")</f>
        <v/>
      </c>
      <c r="M84" s="39" t="str">
        <f aca="false">IFERROR(VLOOKUP($C84,Settings!$A$9:$C$28,3,FALSE()),"")</f>
        <v/>
      </c>
      <c r="N84" s="40" t="str">
        <f aca="false">IF(OR($H84="",$I84=""),"",IFERROR(ABS(H84-I84)/L84,""))</f>
        <v/>
      </c>
      <c r="O84" s="40" t="str">
        <f aca="false">IF(OR($H84="",$J84=""),"",IFERROR(ABS(J84-H84)/L84,""))</f>
        <v/>
      </c>
      <c r="P84" s="41" t="str">
        <f aca="false">IF(OR(N84="",O84="",N84=0),"",O84/N84)</f>
        <v/>
      </c>
      <c r="Q84" s="40" t="str">
        <f aca="false">IF(OR($H84="",$K84=""),"",IFERROR(((K84-H84)/L84)*IF($D84="Buy",1,-1),""))</f>
        <v/>
      </c>
      <c r="R84" s="42" t="str">
        <f aca="false">IF(OR(N84="",$G84=""),"",IFERROR(N84*M84*G84,""))</f>
        <v/>
      </c>
      <c r="S84" s="42" t="str">
        <f aca="false">IF(OR(Q84="",$G84=""),"",IFERROR(Q84*M84*G84,""))</f>
        <v/>
      </c>
      <c r="T84" s="41" t="str">
        <f aca="false">IF(OR(S84="",R84="",R84=0),"",S84/R84)</f>
        <v/>
      </c>
      <c r="U84" s="43" t="str">
        <f aca="false">IF(S84="","",IF(S84&gt;0,"Win",IF(S84&lt;0,"Loss","BE")))</f>
        <v/>
      </c>
      <c r="V84" s="44" t="str">
        <f aca="false">IF(OR($H84="",R84=""),"",IFERROR(R84/(W84-S84),""))</f>
        <v/>
      </c>
      <c r="W84" s="45" t="str">
        <f aca="false">IF($H84="","",Settings!$B$3+SUM($S$2:S84))</f>
        <v/>
      </c>
      <c r="X84" s="45" t="str">
        <f aca="false">IF($H84="","",MAX(Settings!$B$3,MAX($W$2:W84)))</f>
        <v/>
      </c>
      <c r="Y84" s="44" t="str">
        <f aca="false">IF(OR($H84="",X84=""),"",IFERROR((W84-X84)/X84,""))</f>
        <v/>
      </c>
      <c r="Z84" s="35"/>
    </row>
    <row r="85" customFormat="false" ht="15" hidden="false" customHeight="true" outlineLevel="0" collapsed="false">
      <c r="A85" s="34" t="str">
        <f aca="false">IF($H85="","",ROW()-1)</f>
        <v/>
      </c>
      <c r="B85" s="35"/>
      <c r="C85" s="35"/>
      <c r="D85" s="34"/>
      <c r="E85" s="34"/>
      <c r="F85" s="35"/>
      <c r="G85" s="36"/>
      <c r="H85" s="37"/>
      <c r="I85" s="37"/>
      <c r="J85" s="37"/>
      <c r="K85" s="37"/>
      <c r="L85" s="38" t="str">
        <f aca="false">IFERROR(VLOOKUP($C85,Settings!$A$9:$C$28,2,FALSE()),"")</f>
        <v/>
      </c>
      <c r="M85" s="39" t="str">
        <f aca="false">IFERROR(VLOOKUP($C85,Settings!$A$9:$C$28,3,FALSE()),"")</f>
        <v/>
      </c>
      <c r="N85" s="40" t="str">
        <f aca="false">IF(OR($H85="",$I85=""),"",IFERROR(ABS(H85-I85)/L85,""))</f>
        <v/>
      </c>
      <c r="O85" s="40" t="str">
        <f aca="false">IF(OR($H85="",$J85=""),"",IFERROR(ABS(J85-H85)/L85,""))</f>
        <v/>
      </c>
      <c r="P85" s="41" t="str">
        <f aca="false">IF(OR(N85="",O85="",N85=0),"",O85/N85)</f>
        <v/>
      </c>
      <c r="Q85" s="40" t="str">
        <f aca="false">IF(OR($H85="",$K85=""),"",IFERROR(((K85-H85)/L85)*IF($D85="Buy",1,-1),""))</f>
        <v/>
      </c>
      <c r="R85" s="42" t="str">
        <f aca="false">IF(OR(N85="",$G85=""),"",IFERROR(N85*M85*G85,""))</f>
        <v/>
      </c>
      <c r="S85" s="42" t="str">
        <f aca="false">IF(OR(Q85="",$G85=""),"",IFERROR(Q85*M85*G85,""))</f>
        <v/>
      </c>
      <c r="T85" s="41" t="str">
        <f aca="false">IF(OR(S85="",R85="",R85=0),"",S85/R85)</f>
        <v/>
      </c>
      <c r="U85" s="43" t="str">
        <f aca="false">IF(S85="","",IF(S85&gt;0,"Win",IF(S85&lt;0,"Loss","BE")))</f>
        <v/>
      </c>
      <c r="V85" s="44" t="str">
        <f aca="false">IF(OR($H85="",R85=""),"",IFERROR(R85/(W85-S85),""))</f>
        <v/>
      </c>
      <c r="W85" s="45" t="str">
        <f aca="false">IF($H85="","",Settings!$B$3+SUM($S$2:S85))</f>
        <v/>
      </c>
      <c r="X85" s="45" t="str">
        <f aca="false">IF($H85="","",MAX(Settings!$B$3,MAX($W$2:W85)))</f>
        <v/>
      </c>
      <c r="Y85" s="44" t="str">
        <f aca="false">IF(OR($H85="",X85=""),"",IFERROR((W85-X85)/X85,""))</f>
        <v/>
      </c>
      <c r="Z85" s="35"/>
    </row>
    <row r="86" customFormat="false" ht="15" hidden="false" customHeight="true" outlineLevel="0" collapsed="false">
      <c r="A86" s="34" t="str">
        <f aca="false">IF($H86="","",ROW()-1)</f>
        <v/>
      </c>
      <c r="B86" s="35"/>
      <c r="C86" s="35"/>
      <c r="D86" s="34"/>
      <c r="E86" s="34"/>
      <c r="F86" s="35"/>
      <c r="G86" s="36"/>
      <c r="H86" s="37"/>
      <c r="I86" s="37"/>
      <c r="J86" s="37"/>
      <c r="K86" s="37"/>
      <c r="L86" s="38" t="str">
        <f aca="false">IFERROR(VLOOKUP($C86,Settings!$A$9:$C$28,2,FALSE()),"")</f>
        <v/>
      </c>
      <c r="M86" s="39" t="str">
        <f aca="false">IFERROR(VLOOKUP($C86,Settings!$A$9:$C$28,3,FALSE()),"")</f>
        <v/>
      </c>
      <c r="N86" s="40" t="str">
        <f aca="false">IF(OR($H86="",$I86=""),"",IFERROR(ABS(H86-I86)/L86,""))</f>
        <v/>
      </c>
      <c r="O86" s="40" t="str">
        <f aca="false">IF(OR($H86="",$J86=""),"",IFERROR(ABS(J86-H86)/L86,""))</f>
        <v/>
      </c>
      <c r="P86" s="41" t="str">
        <f aca="false">IF(OR(N86="",O86="",N86=0),"",O86/N86)</f>
        <v/>
      </c>
      <c r="Q86" s="40" t="str">
        <f aca="false">IF(OR($H86="",$K86=""),"",IFERROR(((K86-H86)/L86)*IF($D86="Buy",1,-1),""))</f>
        <v/>
      </c>
      <c r="R86" s="42" t="str">
        <f aca="false">IF(OR(N86="",$G86=""),"",IFERROR(N86*M86*G86,""))</f>
        <v/>
      </c>
      <c r="S86" s="42" t="str">
        <f aca="false">IF(OR(Q86="",$G86=""),"",IFERROR(Q86*M86*G86,""))</f>
        <v/>
      </c>
      <c r="T86" s="41" t="str">
        <f aca="false">IF(OR(S86="",R86="",R86=0),"",S86/R86)</f>
        <v/>
      </c>
      <c r="U86" s="43" t="str">
        <f aca="false">IF(S86="","",IF(S86&gt;0,"Win",IF(S86&lt;0,"Loss","BE")))</f>
        <v/>
      </c>
      <c r="V86" s="44" t="str">
        <f aca="false">IF(OR($H86="",R86=""),"",IFERROR(R86/(W86-S86),""))</f>
        <v/>
      </c>
      <c r="W86" s="45" t="str">
        <f aca="false">IF($H86="","",Settings!$B$3+SUM($S$2:S86))</f>
        <v/>
      </c>
      <c r="X86" s="45" t="str">
        <f aca="false">IF($H86="","",MAX(Settings!$B$3,MAX($W$2:W86)))</f>
        <v/>
      </c>
      <c r="Y86" s="44" t="str">
        <f aca="false">IF(OR($H86="",X86=""),"",IFERROR((W86-X86)/X86,""))</f>
        <v/>
      </c>
      <c r="Z86" s="35"/>
    </row>
    <row r="87" customFormat="false" ht="15" hidden="false" customHeight="true" outlineLevel="0" collapsed="false">
      <c r="A87" s="34" t="str">
        <f aca="false">IF($H87="","",ROW()-1)</f>
        <v/>
      </c>
      <c r="B87" s="35"/>
      <c r="C87" s="35"/>
      <c r="D87" s="34"/>
      <c r="E87" s="34"/>
      <c r="F87" s="35"/>
      <c r="G87" s="36"/>
      <c r="H87" s="37"/>
      <c r="I87" s="37"/>
      <c r="J87" s="37"/>
      <c r="K87" s="37"/>
      <c r="L87" s="38" t="str">
        <f aca="false">IFERROR(VLOOKUP($C87,Settings!$A$9:$C$28,2,FALSE()),"")</f>
        <v/>
      </c>
      <c r="M87" s="39" t="str">
        <f aca="false">IFERROR(VLOOKUP($C87,Settings!$A$9:$C$28,3,FALSE()),"")</f>
        <v/>
      </c>
      <c r="N87" s="40" t="str">
        <f aca="false">IF(OR($H87="",$I87=""),"",IFERROR(ABS(H87-I87)/L87,""))</f>
        <v/>
      </c>
      <c r="O87" s="40" t="str">
        <f aca="false">IF(OR($H87="",$J87=""),"",IFERROR(ABS(J87-H87)/L87,""))</f>
        <v/>
      </c>
      <c r="P87" s="41" t="str">
        <f aca="false">IF(OR(N87="",O87="",N87=0),"",O87/N87)</f>
        <v/>
      </c>
      <c r="Q87" s="40" t="str">
        <f aca="false">IF(OR($H87="",$K87=""),"",IFERROR(((K87-H87)/L87)*IF($D87="Buy",1,-1),""))</f>
        <v/>
      </c>
      <c r="R87" s="42" t="str">
        <f aca="false">IF(OR(N87="",$G87=""),"",IFERROR(N87*M87*G87,""))</f>
        <v/>
      </c>
      <c r="S87" s="42" t="str">
        <f aca="false">IF(OR(Q87="",$G87=""),"",IFERROR(Q87*M87*G87,""))</f>
        <v/>
      </c>
      <c r="T87" s="41" t="str">
        <f aca="false">IF(OR(S87="",R87="",R87=0),"",S87/R87)</f>
        <v/>
      </c>
      <c r="U87" s="43" t="str">
        <f aca="false">IF(S87="","",IF(S87&gt;0,"Win",IF(S87&lt;0,"Loss","BE")))</f>
        <v/>
      </c>
      <c r="V87" s="44" t="str">
        <f aca="false">IF(OR($H87="",R87=""),"",IFERROR(R87/(W87-S87),""))</f>
        <v/>
      </c>
      <c r="W87" s="45" t="str">
        <f aca="false">IF($H87="","",Settings!$B$3+SUM($S$2:S87))</f>
        <v/>
      </c>
      <c r="X87" s="45" t="str">
        <f aca="false">IF($H87="","",MAX(Settings!$B$3,MAX($W$2:W87)))</f>
        <v/>
      </c>
      <c r="Y87" s="44" t="str">
        <f aca="false">IF(OR($H87="",X87=""),"",IFERROR((W87-X87)/X87,""))</f>
        <v/>
      </c>
      <c r="Z87" s="35"/>
    </row>
    <row r="88" customFormat="false" ht="15" hidden="false" customHeight="true" outlineLevel="0" collapsed="false">
      <c r="A88" s="34" t="str">
        <f aca="false">IF($H88="","",ROW()-1)</f>
        <v/>
      </c>
      <c r="B88" s="35"/>
      <c r="C88" s="35"/>
      <c r="D88" s="34"/>
      <c r="E88" s="34"/>
      <c r="F88" s="35"/>
      <c r="G88" s="36"/>
      <c r="H88" s="37"/>
      <c r="I88" s="37"/>
      <c r="J88" s="37"/>
      <c r="K88" s="37"/>
      <c r="L88" s="38" t="str">
        <f aca="false">IFERROR(VLOOKUP($C88,Settings!$A$9:$C$28,2,FALSE()),"")</f>
        <v/>
      </c>
      <c r="M88" s="39" t="str">
        <f aca="false">IFERROR(VLOOKUP($C88,Settings!$A$9:$C$28,3,FALSE()),"")</f>
        <v/>
      </c>
      <c r="N88" s="40" t="str">
        <f aca="false">IF(OR($H88="",$I88=""),"",IFERROR(ABS(H88-I88)/L88,""))</f>
        <v/>
      </c>
      <c r="O88" s="40" t="str">
        <f aca="false">IF(OR($H88="",$J88=""),"",IFERROR(ABS(J88-H88)/L88,""))</f>
        <v/>
      </c>
      <c r="P88" s="41" t="str">
        <f aca="false">IF(OR(N88="",O88="",N88=0),"",O88/N88)</f>
        <v/>
      </c>
      <c r="Q88" s="40" t="str">
        <f aca="false">IF(OR($H88="",$K88=""),"",IFERROR(((K88-H88)/L88)*IF($D88="Buy",1,-1),""))</f>
        <v/>
      </c>
      <c r="R88" s="42" t="str">
        <f aca="false">IF(OR(N88="",$G88=""),"",IFERROR(N88*M88*G88,""))</f>
        <v/>
      </c>
      <c r="S88" s="42" t="str">
        <f aca="false">IF(OR(Q88="",$G88=""),"",IFERROR(Q88*M88*G88,""))</f>
        <v/>
      </c>
      <c r="T88" s="41" t="str">
        <f aca="false">IF(OR(S88="",R88="",R88=0),"",S88/R88)</f>
        <v/>
      </c>
      <c r="U88" s="43" t="str">
        <f aca="false">IF(S88="","",IF(S88&gt;0,"Win",IF(S88&lt;0,"Loss","BE")))</f>
        <v/>
      </c>
      <c r="V88" s="44" t="str">
        <f aca="false">IF(OR($H88="",R88=""),"",IFERROR(R88/(W88-S88),""))</f>
        <v/>
      </c>
      <c r="W88" s="45" t="str">
        <f aca="false">IF($H88="","",Settings!$B$3+SUM($S$2:S88))</f>
        <v/>
      </c>
      <c r="X88" s="45" t="str">
        <f aca="false">IF($H88="","",MAX(Settings!$B$3,MAX($W$2:W88)))</f>
        <v/>
      </c>
      <c r="Y88" s="44" t="str">
        <f aca="false">IF(OR($H88="",X88=""),"",IFERROR((W88-X88)/X88,""))</f>
        <v/>
      </c>
      <c r="Z88" s="35"/>
    </row>
    <row r="89" customFormat="false" ht="15" hidden="false" customHeight="true" outlineLevel="0" collapsed="false">
      <c r="A89" s="34" t="str">
        <f aca="false">IF($H89="","",ROW()-1)</f>
        <v/>
      </c>
      <c r="B89" s="35"/>
      <c r="C89" s="35"/>
      <c r="D89" s="34"/>
      <c r="E89" s="34"/>
      <c r="F89" s="35"/>
      <c r="G89" s="36"/>
      <c r="H89" s="37"/>
      <c r="I89" s="37"/>
      <c r="J89" s="37"/>
      <c r="K89" s="37"/>
      <c r="L89" s="38" t="str">
        <f aca="false">IFERROR(VLOOKUP($C89,Settings!$A$9:$C$28,2,FALSE()),"")</f>
        <v/>
      </c>
      <c r="M89" s="39" t="str">
        <f aca="false">IFERROR(VLOOKUP($C89,Settings!$A$9:$C$28,3,FALSE()),"")</f>
        <v/>
      </c>
      <c r="N89" s="40" t="str">
        <f aca="false">IF(OR($H89="",$I89=""),"",IFERROR(ABS(H89-I89)/L89,""))</f>
        <v/>
      </c>
      <c r="O89" s="40" t="str">
        <f aca="false">IF(OR($H89="",$J89=""),"",IFERROR(ABS(J89-H89)/L89,""))</f>
        <v/>
      </c>
      <c r="P89" s="41" t="str">
        <f aca="false">IF(OR(N89="",O89="",N89=0),"",O89/N89)</f>
        <v/>
      </c>
      <c r="Q89" s="40" t="str">
        <f aca="false">IF(OR($H89="",$K89=""),"",IFERROR(((K89-H89)/L89)*IF($D89="Buy",1,-1),""))</f>
        <v/>
      </c>
      <c r="R89" s="42" t="str">
        <f aca="false">IF(OR(N89="",$G89=""),"",IFERROR(N89*M89*G89,""))</f>
        <v/>
      </c>
      <c r="S89" s="42" t="str">
        <f aca="false">IF(OR(Q89="",$G89=""),"",IFERROR(Q89*M89*G89,""))</f>
        <v/>
      </c>
      <c r="T89" s="41" t="str">
        <f aca="false">IF(OR(S89="",R89="",R89=0),"",S89/R89)</f>
        <v/>
      </c>
      <c r="U89" s="43" t="str">
        <f aca="false">IF(S89="","",IF(S89&gt;0,"Win",IF(S89&lt;0,"Loss","BE")))</f>
        <v/>
      </c>
      <c r="V89" s="44" t="str">
        <f aca="false">IF(OR($H89="",R89=""),"",IFERROR(R89/(W89-S89),""))</f>
        <v/>
      </c>
      <c r="W89" s="45" t="str">
        <f aca="false">IF($H89="","",Settings!$B$3+SUM($S$2:S89))</f>
        <v/>
      </c>
      <c r="X89" s="45" t="str">
        <f aca="false">IF($H89="","",MAX(Settings!$B$3,MAX($W$2:W89)))</f>
        <v/>
      </c>
      <c r="Y89" s="44" t="str">
        <f aca="false">IF(OR($H89="",X89=""),"",IFERROR((W89-X89)/X89,""))</f>
        <v/>
      </c>
      <c r="Z89" s="35"/>
    </row>
    <row r="90" customFormat="false" ht="15" hidden="false" customHeight="true" outlineLevel="0" collapsed="false">
      <c r="A90" s="34" t="str">
        <f aca="false">IF($H90="","",ROW()-1)</f>
        <v/>
      </c>
      <c r="B90" s="35"/>
      <c r="C90" s="35"/>
      <c r="D90" s="34"/>
      <c r="E90" s="34"/>
      <c r="F90" s="35"/>
      <c r="G90" s="36"/>
      <c r="H90" s="37"/>
      <c r="I90" s="37"/>
      <c r="J90" s="37"/>
      <c r="K90" s="37"/>
      <c r="L90" s="38" t="str">
        <f aca="false">IFERROR(VLOOKUP($C90,Settings!$A$9:$C$28,2,FALSE()),"")</f>
        <v/>
      </c>
      <c r="M90" s="39" t="str">
        <f aca="false">IFERROR(VLOOKUP($C90,Settings!$A$9:$C$28,3,FALSE()),"")</f>
        <v/>
      </c>
      <c r="N90" s="40" t="str">
        <f aca="false">IF(OR($H90="",$I90=""),"",IFERROR(ABS(H90-I90)/L90,""))</f>
        <v/>
      </c>
      <c r="O90" s="40" t="str">
        <f aca="false">IF(OR($H90="",$J90=""),"",IFERROR(ABS(J90-H90)/L90,""))</f>
        <v/>
      </c>
      <c r="P90" s="41" t="str">
        <f aca="false">IF(OR(N90="",O90="",N90=0),"",O90/N90)</f>
        <v/>
      </c>
      <c r="Q90" s="40" t="str">
        <f aca="false">IF(OR($H90="",$K90=""),"",IFERROR(((K90-H90)/L90)*IF($D90="Buy",1,-1),""))</f>
        <v/>
      </c>
      <c r="R90" s="42" t="str">
        <f aca="false">IF(OR(N90="",$G90=""),"",IFERROR(N90*M90*G90,""))</f>
        <v/>
      </c>
      <c r="S90" s="42" t="str">
        <f aca="false">IF(OR(Q90="",$G90=""),"",IFERROR(Q90*M90*G90,""))</f>
        <v/>
      </c>
      <c r="T90" s="41" t="str">
        <f aca="false">IF(OR(S90="",R90="",R90=0),"",S90/R90)</f>
        <v/>
      </c>
      <c r="U90" s="43" t="str">
        <f aca="false">IF(S90="","",IF(S90&gt;0,"Win",IF(S90&lt;0,"Loss","BE")))</f>
        <v/>
      </c>
      <c r="V90" s="44" t="str">
        <f aca="false">IF(OR($H90="",R90=""),"",IFERROR(R90/(W90-S90),""))</f>
        <v/>
      </c>
      <c r="W90" s="45" t="str">
        <f aca="false">IF($H90="","",Settings!$B$3+SUM($S$2:S90))</f>
        <v/>
      </c>
      <c r="X90" s="45" t="str">
        <f aca="false">IF($H90="","",MAX(Settings!$B$3,MAX($W$2:W90)))</f>
        <v/>
      </c>
      <c r="Y90" s="44" t="str">
        <f aca="false">IF(OR($H90="",X90=""),"",IFERROR((W90-X90)/X90,""))</f>
        <v/>
      </c>
      <c r="Z90" s="35"/>
    </row>
    <row r="91" customFormat="false" ht="15" hidden="false" customHeight="true" outlineLevel="0" collapsed="false">
      <c r="A91" s="34" t="str">
        <f aca="false">IF($H91="","",ROW()-1)</f>
        <v/>
      </c>
      <c r="B91" s="35"/>
      <c r="C91" s="35"/>
      <c r="D91" s="34"/>
      <c r="E91" s="34"/>
      <c r="F91" s="35"/>
      <c r="G91" s="36"/>
      <c r="H91" s="37"/>
      <c r="I91" s="37"/>
      <c r="J91" s="37"/>
      <c r="K91" s="37"/>
      <c r="L91" s="38" t="str">
        <f aca="false">IFERROR(VLOOKUP($C91,Settings!$A$9:$C$28,2,FALSE()),"")</f>
        <v/>
      </c>
      <c r="M91" s="39" t="str">
        <f aca="false">IFERROR(VLOOKUP($C91,Settings!$A$9:$C$28,3,FALSE()),"")</f>
        <v/>
      </c>
      <c r="N91" s="40" t="str">
        <f aca="false">IF(OR($H91="",$I91=""),"",IFERROR(ABS(H91-I91)/L91,""))</f>
        <v/>
      </c>
      <c r="O91" s="40" t="str">
        <f aca="false">IF(OR($H91="",$J91=""),"",IFERROR(ABS(J91-H91)/L91,""))</f>
        <v/>
      </c>
      <c r="P91" s="41" t="str">
        <f aca="false">IF(OR(N91="",O91="",N91=0),"",O91/N91)</f>
        <v/>
      </c>
      <c r="Q91" s="40" t="str">
        <f aca="false">IF(OR($H91="",$K91=""),"",IFERROR(((K91-H91)/L91)*IF($D91="Buy",1,-1),""))</f>
        <v/>
      </c>
      <c r="R91" s="42" t="str">
        <f aca="false">IF(OR(N91="",$G91=""),"",IFERROR(N91*M91*G91,""))</f>
        <v/>
      </c>
      <c r="S91" s="42" t="str">
        <f aca="false">IF(OR(Q91="",$G91=""),"",IFERROR(Q91*M91*G91,""))</f>
        <v/>
      </c>
      <c r="T91" s="41" t="str">
        <f aca="false">IF(OR(S91="",R91="",R91=0),"",S91/R91)</f>
        <v/>
      </c>
      <c r="U91" s="43" t="str">
        <f aca="false">IF(S91="","",IF(S91&gt;0,"Win",IF(S91&lt;0,"Loss","BE")))</f>
        <v/>
      </c>
      <c r="V91" s="44" t="str">
        <f aca="false">IF(OR($H91="",R91=""),"",IFERROR(R91/(W91-S91),""))</f>
        <v/>
      </c>
      <c r="W91" s="45" t="str">
        <f aca="false">IF($H91="","",Settings!$B$3+SUM($S$2:S91))</f>
        <v/>
      </c>
      <c r="X91" s="45" t="str">
        <f aca="false">IF($H91="","",MAX(Settings!$B$3,MAX($W$2:W91)))</f>
        <v/>
      </c>
      <c r="Y91" s="44" t="str">
        <f aca="false">IF(OR($H91="",X91=""),"",IFERROR((W91-X91)/X91,""))</f>
        <v/>
      </c>
      <c r="Z91" s="35"/>
    </row>
    <row r="92" customFormat="false" ht="15" hidden="false" customHeight="true" outlineLevel="0" collapsed="false">
      <c r="A92" s="34" t="str">
        <f aca="false">IF($H92="","",ROW()-1)</f>
        <v/>
      </c>
      <c r="B92" s="35"/>
      <c r="C92" s="35"/>
      <c r="D92" s="34"/>
      <c r="E92" s="34"/>
      <c r="F92" s="35"/>
      <c r="G92" s="36"/>
      <c r="H92" s="37"/>
      <c r="I92" s="37"/>
      <c r="J92" s="37"/>
      <c r="K92" s="37"/>
      <c r="L92" s="38" t="str">
        <f aca="false">IFERROR(VLOOKUP($C92,Settings!$A$9:$C$28,2,FALSE()),"")</f>
        <v/>
      </c>
      <c r="M92" s="39" t="str">
        <f aca="false">IFERROR(VLOOKUP($C92,Settings!$A$9:$C$28,3,FALSE()),"")</f>
        <v/>
      </c>
      <c r="N92" s="40" t="str">
        <f aca="false">IF(OR($H92="",$I92=""),"",IFERROR(ABS(H92-I92)/L92,""))</f>
        <v/>
      </c>
      <c r="O92" s="40" t="str">
        <f aca="false">IF(OR($H92="",$J92=""),"",IFERROR(ABS(J92-H92)/L92,""))</f>
        <v/>
      </c>
      <c r="P92" s="41" t="str">
        <f aca="false">IF(OR(N92="",O92="",N92=0),"",O92/N92)</f>
        <v/>
      </c>
      <c r="Q92" s="40" t="str">
        <f aca="false">IF(OR($H92="",$K92=""),"",IFERROR(((K92-H92)/L92)*IF($D92="Buy",1,-1),""))</f>
        <v/>
      </c>
      <c r="R92" s="42" t="str">
        <f aca="false">IF(OR(N92="",$G92=""),"",IFERROR(N92*M92*G92,""))</f>
        <v/>
      </c>
      <c r="S92" s="42" t="str">
        <f aca="false">IF(OR(Q92="",$G92=""),"",IFERROR(Q92*M92*G92,""))</f>
        <v/>
      </c>
      <c r="T92" s="41" t="str">
        <f aca="false">IF(OR(S92="",R92="",R92=0),"",S92/R92)</f>
        <v/>
      </c>
      <c r="U92" s="43" t="str">
        <f aca="false">IF(S92="","",IF(S92&gt;0,"Win",IF(S92&lt;0,"Loss","BE")))</f>
        <v/>
      </c>
      <c r="V92" s="44" t="str">
        <f aca="false">IF(OR($H92="",R92=""),"",IFERROR(R92/(W92-S92),""))</f>
        <v/>
      </c>
      <c r="W92" s="45" t="str">
        <f aca="false">IF($H92="","",Settings!$B$3+SUM($S$2:S92))</f>
        <v/>
      </c>
      <c r="X92" s="45" t="str">
        <f aca="false">IF($H92="","",MAX(Settings!$B$3,MAX($W$2:W92)))</f>
        <v/>
      </c>
      <c r="Y92" s="44" t="str">
        <f aca="false">IF(OR($H92="",X92=""),"",IFERROR((W92-X92)/X92,""))</f>
        <v/>
      </c>
      <c r="Z92" s="35"/>
    </row>
    <row r="93" customFormat="false" ht="15" hidden="false" customHeight="true" outlineLevel="0" collapsed="false">
      <c r="A93" s="34" t="str">
        <f aca="false">IF($H93="","",ROW()-1)</f>
        <v/>
      </c>
      <c r="B93" s="35"/>
      <c r="C93" s="35"/>
      <c r="D93" s="34"/>
      <c r="E93" s="34"/>
      <c r="F93" s="35"/>
      <c r="G93" s="36"/>
      <c r="H93" s="37"/>
      <c r="I93" s="37"/>
      <c r="J93" s="37"/>
      <c r="K93" s="37"/>
      <c r="L93" s="38" t="str">
        <f aca="false">IFERROR(VLOOKUP($C93,Settings!$A$9:$C$28,2,FALSE()),"")</f>
        <v/>
      </c>
      <c r="M93" s="39" t="str">
        <f aca="false">IFERROR(VLOOKUP($C93,Settings!$A$9:$C$28,3,FALSE()),"")</f>
        <v/>
      </c>
      <c r="N93" s="40" t="str">
        <f aca="false">IF(OR($H93="",$I93=""),"",IFERROR(ABS(H93-I93)/L93,""))</f>
        <v/>
      </c>
      <c r="O93" s="40" t="str">
        <f aca="false">IF(OR($H93="",$J93=""),"",IFERROR(ABS(J93-H93)/L93,""))</f>
        <v/>
      </c>
      <c r="P93" s="41" t="str">
        <f aca="false">IF(OR(N93="",O93="",N93=0),"",O93/N93)</f>
        <v/>
      </c>
      <c r="Q93" s="40" t="str">
        <f aca="false">IF(OR($H93="",$K93=""),"",IFERROR(((K93-H93)/L93)*IF($D93="Buy",1,-1),""))</f>
        <v/>
      </c>
      <c r="R93" s="42" t="str">
        <f aca="false">IF(OR(N93="",$G93=""),"",IFERROR(N93*M93*G93,""))</f>
        <v/>
      </c>
      <c r="S93" s="42" t="str">
        <f aca="false">IF(OR(Q93="",$G93=""),"",IFERROR(Q93*M93*G93,""))</f>
        <v/>
      </c>
      <c r="T93" s="41" t="str">
        <f aca="false">IF(OR(S93="",R93="",R93=0),"",S93/R93)</f>
        <v/>
      </c>
      <c r="U93" s="43" t="str">
        <f aca="false">IF(S93="","",IF(S93&gt;0,"Win",IF(S93&lt;0,"Loss","BE")))</f>
        <v/>
      </c>
      <c r="V93" s="44" t="str">
        <f aca="false">IF(OR($H93="",R93=""),"",IFERROR(R93/(W93-S93),""))</f>
        <v/>
      </c>
      <c r="W93" s="45" t="str">
        <f aca="false">IF($H93="","",Settings!$B$3+SUM($S$2:S93))</f>
        <v/>
      </c>
      <c r="X93" s="45" t="str">
        <f aca="false">IF($H93="","",MAX(Settings!$B$3,MAX($W$2:W93)))</f>
        <v/>
      </c>
      <c r="Y93" s="44" t="str">
        <f aca="false">IF(OR($H93="",X93=""),"",IFERROR((W93-X93)/X93,""))</f>
        <v/>
      </c>
      <c r="Z93" s="35"/>
    </row>
    <row r="94" customFormat="false" ht="15" hidden="false" customHeight="true" outlineLevel="0" collapsed="false">
      <c r="A94" s="34" t="str">
        <f aca="false">IF($H94="","",ROW()-1)</f>
        <v/>
      </c>
      <c r="B94" s="35"/>
      <c r="C94" s="35"/>
      <c r="D94" s="34"/>
      <c r="E94" s="34"/>
      <c r="F94" s="35"/>
      <c r="G94" s="36"/>
      <c r="H94" s="37"/>
      <c r="I94" s="37"/>
      <c r="J94" s="37"/>
      <c r="K94" s="37"/>
      <c r="L94" s="38" t="str">
        <f aca="false">IFERROR(VLOOKUP($C94,Settings!$A$9:$C$28,2,FALSE()),"")</f>
        <v/>
      </c>
      <c r="M94" s="39" t="str">
        <f aca="false">IFERROR(VLOOKUP($C94,Settings!$A$9:$C$28,3,FALSE()),"")</f>
        <v/>
      </c>
      <c r="N94" s="40" t="str">
        <f aca="false">IF(OR($H94="",$I94=""),"",IFERROR(ABS(H94-I94)/L94,""))</f>
        <v/>
      </c>
      <c r="O94" s="40" t="str">
        <f aca="false">IF(OR($H94="",$J94=""),"",IFERROR(ABS(J94-H94)/L94,""))</f>
        <v/>
      </c>
      <c r="P94" s="41" t="str">
        <f aca="false">IF(OR(N94="",O94="",N94=0),"",O94/N94)</f>
        <v/>
      </c>
      <c r="Q94" s="40" t="str">
        <f aca="false">IF(OR($H94="",$K94=""),"",IFERROR(((K94-H94)/L94)*IF($D94="Buy",1,-1),""))</f>
        <v/>
      </c>
      <c r="R94" s="42" t="str">
        <f aca="false">IF(OR(N94="",$G94=""),"",IFERROR(N94*M94*G94,""))</f>
        <v/>
      </c>
      <c r="S94" s="42" t="str">
        <f aca="false">IF(OR(Q94="",$G94=""),"",IFERROR(Q94*M94*G94,""))</f>
        <v/>
      </c>
      <c r="T94" s="41" t="str">
        <f aca="false">IF(OR(S94="",R94="",R94=0),"",S94/R94)</f>
        <v/>
      </c>
      <c r="U94" s="43" t="str">
        <f aca="false">IF(S94="","",IF(S94&gt;0,"Win",IF(S94&lt;0,"Loss","BE")))</f>
        <v/>
      </c>
      <c r="V94" s="44" t="str">
        <f aca="false">IF(OR($H94="",R94=""),"",IFERROR(R94/(W94-S94),""))</f>
        <v/>
      </c>
      <c r="W94" s="45" t="str">
        <f aca="false">IF($H94="","",Settings!$B$3+SUM($S$2:S94))</f>
        <v/>
      </c>
      <c r="X94" s="45" t="str">
        <f aca="false">IF($H94="","",MAX(Settings!$B$3,MAX($W$2:W94)))</f>
        <v/>
      </c>
      <c r="Y94" s="44" t="str">
        <f aca="false">IF(OR($H94="",X94=""),"",IFERROR((W94-X94)/X94,""))</f>
        <v/>
      </c>
      <c r="Z94" s="35"/>
    </row>
    <row r="95" customFormat="false" ht="15" hidden="false" customHeight="true" outlineLevel="0" collapsed="false">
      <c r="A95" s="34" t="str">
        <f aca="false">IF($H95="","",ROW()-1)</f>
        <v/>
      </c>
      <c r="B95" s="35"/>
      <c r="C95" s="35"/>
      <c r="D95" s="34"/>
      <c r="E95" s="34"/>
      <c r="F95" s="35"/>
      <c r="G95" s="36"/>
      <c r="H95" s="37"/>
      <c r="I95" s="37"/>
      <c r="J95" s="37"/>
      <c r="K95" s="37"/>
      <c r="L95" s="38" t="str">
        <f aca="false">IFERROR(VLOOKUP($C95,Settings!$A$9:$C$28,2,FALSE()),"")</f>
        <v/>
      </c>
      <c r="M95" s="39" t="str">
        <f aca="false">IFERROR(VLOOKUP($C95,Settings!$A$9:$C$28,3,FALSE()),"")</f>
        <v/>
      </c>
      <c r="N95" s="40" t="str">
        <f aca="false">IF(OR($H95="",$I95=""),"",IFERROR(ABS(H95-I95)/L95,""))</f>
        <v/>
      </c>
      <c r="O95" s="40" t="str">
        <f aca="false">IF(OR($H95="",$J95=""),"",IFERROR(ABS(J95-H95)/L95,""))</f>
        <v/>
      </c>
      <c r="P95" s="41" t="str">
        <f aca="false">IF(OR(N95="",O95="",N95=0),"",O95/N95)</f>
        <v/>
      </c>
      <c r="Q95" s="40" t="str">
        <f aca="false">IF(OR($H95="",$K95=""),"",IFERROR(((K95-H95)/L95)*IF($D95="Buy",1,-1),""))</f>
        <v/>
      </c>
      <c r="R95" s="42" t="str">
        <f aca="false">IF(OR(N95="",$G95=""),"",IFERROR(N95*M95*G95,""))</f>
        <v/>
      </c>
      <c r="S95" s="42" t="str">
        <f aca="false">IF(OR(Q95="",$G95=""),"",IFERROR(Q95*M95*G95,""))</f>
        <v/>
      </c>
      <c r="T95" s="41" t="str">
        <f aca="false">IF(OR(S95="",R95="",R95=0),"",S95/R95)</f>
        <v/>
      </c>
      <c r="U95" s="43" t="str">
        <f aca="false">IF(S95="","",IF(S95&gt;0,"Win",IF(S95&lt;0,"Loss","BE")))</f>
        <v/>
      </c>
      <c r="V95" s="44" t="str">
        <f aca="false">IF(OR($H95="",R95=""),"",IFERROR(R95/(W95-S95),""))</f>
        <v/>
      </c>
      <c r="W95" s="45" t="str">
        <f aca="false">IF($H95="","",Settings!$B$3+SUM($S$2:S95))</f>
        <v/>
      </c>
      <c r="X95" s="45" t="str">
        <f aca="false">IF($H95="","",MAX(Settings!$B$3,MAX($W$2:W95)))</f>
        <v/>
      </c>
      <c r="Y95" s="44" t="str">
        <f aca="false">IF(OR($H95="",X95=""),"",IFERROR((W95-X95)/X95,""))</f>
        <v/>
      </c>
      <c r="Z95" s="35"/>
    </row>
    <row r="96" customFormat="false" ht="15" hidden="false" customHeight="true" outlineLevel="0" collapsed="false">
      <c r="A96" s="34" t="str">
        <f aca="false">IF($H96="","",ROW()-1)</f>
        <v/>
      </c>
      <c r="B96" s="35"/>
      <c r="C96" s="35"/>
      <c r="D96" s="34"/>
      <c r="E96" s="34"/>
      <c r="F96" s="35"/>
      <c r="G96" s="36"/>
      <c r="H96" s="37"/>
      <c r="I96" s="37"/>
      <c r="J96" s="37"/>
      <c r="K96" s="37"/>
      <c r="L96" s="38" t="str">
        <f aca="false">IFERROR(VLOOKUP($C96,Settings!$A$9:$C$28,2,FALSE()),"")</f>
        <v/>
      </c>
      <c r="M96" s="39" t="str">
        <f aca="false">IFERROR(VLOOKUP($C96,Settings!$A$9:$C$28,3,FALSE()),"")</f>
        <v/>
      </c>
      <c r="N96" s="40" t="str">
        <f aca="false">IF(OR($H96="",$I96=""),"",IFERROR(ABS(H96-I96)/L96,""))</f>
        <v/>
      </c>
      <c r="O96" s="40" t="str">
        <f aca="false">IF(OR($H96="",$J96=""),"",IFERROR(ABS(J96-H96)/L96,""))</f>
        <v/>
      </c>
      <c r="P96" s="41" t="str">
        <f aca="false">IF(OR(N96="",O96="",N96=0),"",O96/N96)</f>
        <v/>
      </c>
      <c r="Q96" s="40" t="str">
        <f aca="false">IF(OR($H96="",$K96=""),"",IFERROR(((K96-H96)/L96)*IF($D96="Buy",1,-1),""))</f>
        <v/>
      </c>
      <c r="R96" s="42" t="str">
        <f aca="false">IF(OR(N96="",$G96=""),"",IFERROR(N96*M96*G96,""))</f>
        <v/>
      </c>
      <c r="S96" s="42" t="str">
        <f aca="false">IF(OR(Q96="",$G96=""),"",IFERROR(Q96*M96*G96,""))</f>
        <v/>
      </c>
      <c r="T96" s="41" t="str">
        <f aca="false">IF(OR(S96="",R96="",R96=0),"",S96/R96)</f>
        <v/>
      </c>
      <c r="U96" s="43" t="str">
        <f aca="false">IF(S96="","",IF(S96&gt;0,"Win",IF(S96&lt;0,"Loss","BE")))</f>
        <v/>
      </c>
      <c r="V96" s="44" t="str">
        <f aca="false">IF(OR($H96="",R96=""),"",IFERROR(R96/(W96-S96),""))</f>
        <v/>
      </c>
      <c r="W96" s="45" t="str">
        <f aca="false">IF($H96="","",Settings!$B$3+SUM($S$2:S96))</f>
        <v/>
      </c>
      <c r="X96" s="45" t="str">
        <f aca="false">IF($H96="","",MAX(Settings!$B$3,MAX($W$2:W96)))</f>
        <v/>
      </c>
      <c r="Y96" s="44" t="str">
        <f aca="false">IF(OR($H96="",X96=""),"",IFERROR((W96-X96)/X96,""))</f>
        <v/>
      </c>
      <c r="Z96" s="35"/>
    </row>
    <row r="97" customFormat="false" ht="15" hidden="false" customHeight="true" outlineLevel="0" collapsed="false">
      <c r="A97" s="34" t="str">
        <f aca="false">IF($H97="","",ROW()-1)</f>
        <v/>
      </c>
      <c r="B97" s="35"/>
      <c r="C97" s="35"/>
      <c r="D97" s="34"/>
      <c r="E97" s="34"/>
      <c r="F97" s="35"/>
      <c r="G97" s="36"/>
      <c r="H97" s="37"/>
      <c r="I97" s="37"/>
      <c r="J97" s="37"/>
      <c r="K97" s="37"/>
      <c r="L97" s="38" t="str">
        <f aca="false">IFERROR(VLOOKUP($C97,Settings!$A$9:$C$28,2,FALSE()),"")</f>
        <v/>
      </c>
      <c r="M97" s="39" t="str">
        <f aca="false">IFERROR(VLOOKUP($C97,Settings!$A$9:$C$28,3,FALSE()),"")</f>
        <v/>
      </c>
      <c r="N97" s="40" t="str">
        <f aca="false">IF(OR($H97="",$I97=""),"",IFERROR(ABS(H97-I97)/L97,""))</f>
        <v/>
      </c>
      <c r="O97" s="40" t="str">
        <f aca="false">IF(OR($H97="",$J97=""),"",IFERROR(ABS(J97-H97)/L97,""))</f>
        <v/>
      </c>
      <c r="P97" s="41" t="str">
        <f aca="false">IF(OR(N97="",O97="",N97=0),"",O97/N97)</f>
        <v/>
      </c>
      <c r="Q97" s="40" t="str">
        <f aca="false">IF(OR($H97="",$K97=""),"",IFERROR(((K97-H97)/L97)*IF($D97="Buy",1,-1),""))</f>
        <v/>
      </c>
      <c r="R97" s="42" t="str">
        <f aca="false">IF(OR(N97="",$G97=""),"",IFERROR(N97*M97*G97,""))</f>
        <v/>
      </c>
      <c r="S97" s="42" t="str">
        <f aca="false">IF(OR(Q97="",$G97=""),"",IFERROR(Q97*M97*G97,""))</f>
        <v/>
      </c>
      <c r="T97" s="41" t="str">
        <f aca="false">IF(OR(S97="",R97="",R97=0),"",S97/R97)</f>
        <v/>
      </c>
      <c r="U97" s="43" t="str">
        <f aca="false">IF(S97="","",IF(S97&gt;0,"Win",IF(S97&lt;0,"Loss","BE")))</f>
        <v/>
      </c>
      <c r="V97" s="44" t="str">
        <f aca="false">IF(OR($H97="",R97=""),"",IFERROR(R97/(W97-S97),""))</f>
        <v/>
      </c>
      <c r="W97" s="45" t="str">
        <f aca="false">IF($H97="","",Settings!$B$3+SUM($S$2:S97))</f>
        <v/>
      </c>
      <c r="X97" s="45" t="str">
        <f aca="false">IF($H97="","",MAX(Settings!$B$3,MAX($W$2:W97)))</f>
        <v/>
      </c>
      <c r="Y97" s="44" t="str">
        <f aca="false">IF(OR($H97="",X97=""),"",IFERROR((W97-X97)/X97,""))</f>
        <v/>
      </c>
      <c r="Z97" s="35"/>
    </row>
    <row r="98" customFormat="false" ht="15" hidden="false" customHeight="true" outlineLevel="0" collapsed="false">
      <c r="A98" s="34" t="str">
        <f aca="false">IF($H98="","",ROW()-1)</f>
        <v/>
      </c>
      <c r="B98" s="35"/>
      <c r="C98" s="35"/>
      <c r="D98" s="34"/>
      <c r="E98" s="34"/>
      <c r="F98" s="35"/>
      <c r="G98" s="36"/>
      <c r="H98" s="37"/>
      <c r="I98" s="37"/>
      <c r="J98" s="37"/>
      <c r="K98" s="37"/>
      <c r="L98" s="38" t="str">
        <f aca="false">IFERROR(VLOOKUP($C98,Settings!$A$9:$C$28,2,FALSE()),"")</f>
        <v/>
      </c>
      <c r="M98" s="39" t="str">
        <f aca="false">IFERROR(VLOOKUP($C98,Settings!$A$9:$C$28,3,FALSE()),"")</f>
        <v/>
      </c>
      <c r="N98" s="40" t="str">
        <f aca="false">IF(OR($H98="",$I98=""),"",IFERROR(ABS(H98-I98)/L98,""))</f>
        <v/>
      </c>
      <c r="O98" s="40" t="str">
        <f aca="false">IF(OR($H98="",$J98=""),"",IFERROR(ABS(J98-H98)/L98,""))</f>
        <v/>
      </c>
      <c r="P98" s="41" t="str">
        <f aca="false">IF(OR(N98="",O98="",N98=0),"",O98/N98)</f>
        <v/>
      </c>
      <c r="Q98" s="40" t="str">
        <f aca="false">IF(OR($H98="",$K98=""),"",IFERROR(((K98-H98)/L98)*IF($D98="Buy",1,-1),""))</f>
        <v/>
      </c>
      <c r="R98" s="42" t="str">
        <f aca="false">IF(OR(N98="",$G98=""),"",IFERROR(N98*M98*G98,""))</f>
        <v/>
      </c>
      <c r="S98" s="42" t="str">
        <f aca="false">IF(OR(Q98="",$G98=""),"",IFERROR(Q98*M98*G98,""))</f>
        <v/>
      </c>
      <c r="T98" s="41" t="str">
        <f aca="false">IF(OR(S98="",R98="",R98=0),"",S98/R98)</f>
        <v/>
      </c>
      <c r="U98" s="43" t="str">
        <f aca="false">IF(S98="","",IF(S98&gt;0,"Win",IF(S98&lt;0,"Loss","BE")))</f>
        <v/>
      </c>
      <c r="V98" s="44" t="str">
        <f aca="false">IF(OR($H98="",R98=""),"",IFERROR(R98/(W98-S98),""))</f>
        <v/>
      </c>
      <c r="W98" s="45" t="str">
        <f aca="false">IF($H98="","",Settings!$B$3+SUM($S$2:S98))</f>
        <v/>
      </c>
      <c r="X98" s="45" t="str">
        <f aca="false">IF($H98="","",MAX(Settings!$B$3,MAX($W$2:W98)))</f>
        <v/>
      </c>
      <c r="Y98" s="44" t="str">
        <f aca="false">IF(OR($H98="",X98=""),"",IFERROR((W98-X98)/X98,""))</f>
        <v/>
      </c>
      <c r="Z98" s="35"/>
    </row>
    <row r="99" customFormat="false" ht="15" hidden="false" customHeight="true" outlineLevel="0" collapsed="false">
      <c r="A99" s="34" t="str">
        <f aca="false">IF($H99="","",ROW()-1)</f>
        <v/>
      </c>
      <c r="B99" s="35"/>
      <c r="C99" s="35"/>
      <c r="D99" s="34"/>
      <c r="E99" s="34"/>
      <c r="F99" s="35"/>
      <c r="G99" s="36"/>
      <c r="H99" s="37"/>
      <c r="I99" s="37"/>
      <c r="J99" s="37"/>
      <c r="K99" s="37"/>
      <c r="L99" s="38" t="str">
        <f aca="false">IFERROR(VLOOKUP($C99,Settings!$A$9:$C$28,2,FALSE()),"")</f>
        <v/>
      </c>
      <c r="M99" s="39" t="str">
        <f aca="false">IFERROR(VLOOKUP($C99,Settings!$A$9:$C$28,3,FALSE()),"")</f>
        <v/>
      </c>
      <c r="N99" s="40" t="str">
        <f aca="false">IF(OR($H99="",$I99=""),"",IFERROR(ABS(H99-I99)/L99,""))</f>
        <v/>
      </c>
      <c r="O99" s="40" t="str">
        <f aca="false">IF(OR($H99="",$J99=""),"",IFERROR(ABS(J99-H99)/L99,""))</f>
        <v/>
      </c>
      <c r="P99" s="41" t="str">
        <f aca="false">IF(OR(N99="",O99="",N99=0),"",O99/N99)</f>
        <v/>
      </c>
      <c r="Q99" s="40" t="str">
        <f aca="false">IF(OR($H99="",$K99=""),"",IFERROR(((K99-H99)/L99)*IF($D99="Buy",1,-1),""))</f>
        <v/>
      </c>
      <c r="R99" s="42" t="str">
        <f aca="false">IF(OR(N99="",$G99=""),"",IFERROR(N99*M99*G99,""))</f>
        <v/>
      </c>
      <c r="S99" s="42" t="str">
        <f aca="false">IF(OR(Q99="",$G99=""),"",IFERROR(Q99*M99*G99,""))</f>
        <v/>
      </c>
      <c r="T99" s="41" t="str">
        <f aca="false">IF(OR(S99="",R99="",R99=0),"",S99/R99)</f>
        <v/>
      </c>
      <c r="U99" s="43" t="str">
        <f aca="false">IF(S99="","",IF(S99&gt;0,"Win",IF(S99&lt;0,"Loss","BE")))</f>
        <v/>
      </c>
      <c r="V99" s="44" t="str">
        <f aca="false">IF(OR($H99="",R99=""),"",IFERROR(R99/(W99-S99),""))</f>
        <v/>
      </c>
      <c r="W99" s="45" t="str">
        <f aca="false">IF($H99="","",Settings!$B$3+SUM($S$2:S99))</f>
        <v/>
      </c>
      <c r="X99" s="45" t="str">
        <f aca="false">IF($H99="","",MAX(Settings!$B$3,MAX($W$2:W99)))</f>
        <v/>
      </c>
      <c r="Y99" s="44" t="str">
        <f aca="false">IF(OR($H99="",X99=""),"",IFERROR((W99-X99)/X99,""))</f>
        <v/>
      </c>
      <c r="Z99" s="35"/>
    </row>
    <row r="100" customFormat="false" ht="15" hidden="false" customHeight="true" outlineLevel="0" collapsed="false">
      <c r="A100" s="34" t="str">
        <f aca="false">IF($H100="","",ROW()-1)</f>
        <v/>
      </c>
      <c r="B100" s="35"/>
      <c r="C100" s="35"/>
      <c r="D100" s="34"/>
      <c r="E100" s="34"/>
      <c r="F100" s="35"/>
      <c r="G100" s="36"/>
      <c r="H100" s="37"/>
      <c r="I100" s="37"/>
      <c r="J100" s="37"/>
      <c r="K100" s="37"/>
      <c r="L100" s="38" t="str">
        <f aca="false">IFERROR(VLOOKUP($C100,Settings!$A$9:$C$28,2,FALSE()),"")</f>
        <v/>
      </c>
      <c r="M100" s="39" t="str">
        <f aca="false">IFERROR(VLOOKUP($C100,Settings!$A$9:$C$28,3,FALSE()),"")</f>
        <v/>
      </c>
      <c r="N100" s="40" t="str">
        <f aca="false">IF(OR($H100="",$I100=""),"",IFERROR(ABS(H100-I100)/L100,""))</f>
        <v/>
      </c>
      <c r="O100" s="40" t="str">
        <f aca="false">IF(OR($H100="",$J100=""),"",IFERROR(ABS(J100-H100)/L100,""))</f>
        <v/>
      </c>
      <c r="P100" s="41" t="str">
        <f aca="false">IF(OR(N100="",O100="",N100=0),"",O100/N100)</f>
        <v/>
      </c>
      <c r="Q100" s="40" t="str">
        <f aca="false">IF(OR($H100="",$K100=""),"",IFERROR(((K100-H100)/L100)*IF($D100="Buy",1,-1),""))</f>
        <v/>
      </c>
      <c r="R100" s="42" t="str">
        <f aca="false">IF(OR(N100="",$G100=""),"",IFERROR(N100*M100*G100,""))</f>
        <v/>
      </c>
      <c r="S100" s="42" t="str">
        <f aca="false">IF(OR(Q100="",$G100=""),"",IFERROR(Q100*M100*G100,""))</f>
        <v/>
      </c>
      <c r="T100" s="41" t="str">
        <f aca="false">IF(OR(S100="",R100="",R100=0),"",S100/R100)</f>
        <v/>
      </c>
      <c r="U100" s="43" t="str">
        <f aca="false">IF(S100="","",IF(S100&gt;0,"Win",IF(S100&lt;0,"Loss","BE")))</f>
        <v/>
      </c>
      <c r="V100" s="44" t="str">
        <f aca="false">IF(OR($H100="",R100=""),"",IFERROR(R100/(W100-S100),""))</f>
        <v/>
      </c>
      <c r="W100" s="45" t="str">
        <f aca="false">IF($H100="","",Settings!$B$3+SUM($S$2:S100))</f>
        <v/>
      </c>
      <c r="X100" s="45" t="str">
        <f aca="false">IF($H100="","",MAX(Settings!$B$3,MAX($W$2:W100)))</f>
        <v/>
      </c>
      <c r="Y100" s="44" t="str">
        <f aca="false">IF(OR($H100="",X100=""),"",IFERROR((W100-X100)/X100,""))</f>
        <v/>
      </c>
      <c r="Z100" s="35"/>
    </row>
    <row r="101" customFormat="false" ht="15" hidden="false" customHeight="true" outlineLevel="0" collapsed="false">
      <c r="A101" s="34" t="str">
        <f aca="false">IF($H101="","",ROW()-1)</f>
        <v/>
      </c>
      <c r="B101" s="35"/>
      <c r="C101" s="35"/>
      <c r="D101" s="34"/>
      <c r="E101" s="34"/>
      <c r="F101" s="35"/>
      <c r="G101" s="36"/>
      <c r="H101" s="37"/>
      <c r="I101" s="37"/>
      <c r="J101" s="37"/>
      <c r="K101" s="37"/>
      <c r="L101" s="38" t="str">
        <f aca="false">IFERROR(VLOOKUP($C101,Settings!$A$9:$C$28,2,FALSE()),"")</f>
        <v/>
      </c>
      <c r="M101" s="39" t="str">
        <f aca="false">IFERROR(VLOOKUP($C101,Settings!$A$9:$C$28,3,FALSE()),"")</f>
        <v/>
      </c>
      <c r="N101" s="40" t="str">
        <f aca="false">IF(OR($H101="",$I101=""),"",IFERROR(ABS(H101-I101)/L101,""))</f>
        <v/>
      </c>
      <c r="O101" s="40" t="str">
        <f aca="false">IF(OR($H101="",$J101=""),"",IFERROR(ABS(J101-H101)/L101,""))</f>
        <v/>
      </c>
      <c r="P101" s="41" t="str">
        <f aca="false">IF(OR(N101="",O101="",N101=0),"",O101/N101)</f>
        <v/>
      </c>
      <c r="Q101" s="40" t="str">
        <f aca="false">IF(OR($H101="",$K101=""),"",IFERROR(((K101-H101)/L101)*IF($D101="Buy",1,-1),""))</f>
        <v/>
      </c>
      <c r="R101" s="42" t="str">
        <f aca="false">IF(OR(N101="",$G101=""),"",IFERROR(N101*M101*G101,""))</f>
        <v/>
      </c>
      <c r="S101" s="42" t="str">
        <f aca="false">IF(OR(Q101="",$G101=""),"",IFERROR(Q101*M101*G101,""))</f>
        <v/>
      </c>
      <c r="T101" s="41" t="str">
        <f aca="false">IF(OR(S101="",R101="",R101=0),"",S101/R101)</f>
        <v/>
      </c>
      <c r="U101" s="43" t="str">
        <f aca="false">IF(S101="","",IF(S101&gt;0,"Win",IF(S101&lt;0,"Loss","BE")))</f>
        <v/>
      </c>
      <c r="V101" s="44" t="str">
        <f aca="false">IF(OR($H101="",R101=""),"",IFERROR(R101/(W101-S101),""))</f>
        <v/>
      </c>
      <c r="W101" s="45" t="str">
        <f aca="false">IF($H101="","",Settings!$B$3+SUM($S$2:S101))</f>
        <v/>
      </c>
      <c r="X101" s="45" t="str">
        <f aca="false">IF($H101="","",MAX(Settings!$B$3,MAX($W$2:W101)))</f>
        <v/>
      </c>
      <c r="Y101" s="44" t="str">
        <f aca="false">IF(OR($H101="",X101=""),"",IFERROR((W101-X101)/X101,""))</f>
        <v/>
      </c>
      <c r="Z101" s="35"/>
    </row>
    <row r="102" customFormat="false" ht="15" hidden="false" customHeight="true" outlineLevel="0" collapsed="false">
      <c r="A102" s="34" t="str">
        <f aca="false">IF($H102="","",ROW()-1)</f>
        <v/>
      </c>
      <c r="B102" s="35"/>
      <c r="C102" s="35"/>
      <c r="D102" s="34"/>
      <c r="E102" s="34"/>
      <c r="F102" s="35"/>
      <c r="G102" s="36"/>
      <c r="H102" s="37"/>
      <c r="I102" s="37"/>
      <c r="J102" s="37"/>
      <c r="K102" s="37"/>
      <c r="L102" s="38" t="str">
        <f aca="false">IFERROR(VLOOKUP($C102,Settings!$A$9:$C$28,2,FALSE()),"")</f>
        <v/>
      </c>
      <c r="M102" s="39" t="str">
        <f aca="false">IFERROR(VLOOKUP($C102,Settings!$A$9:$C$28,3,FALSE()),"")</f>
        <v/>
      </c>
      <c r="N102" s="40" t="str">
        <f aca="false">IF(OR($H102="",$I102=""),"",IFERROR(ABS(H102-I102)/L102,""))</f>
        <v/>
      </c>
      <c r="O102" s="40" t="str">
        <f aca="false">IF(OR($H102="",$J102=""),"",IFERROR(ABS(J102-H102)/L102,""))</f>
        <v/>
      </c>
      <c r="P102" s="41" t="str">
        <f aca="false">IF(OR(N102="",O102="",N102=0),"",O102/N102)</f>
        <v/>
      </c>
      <c r="Q102" s="40" t="str">
        <f aca="false">IF(OR($H102="",$K102=""),"",IFERROR(((K102-H102)/L102)*IF($D102="Buy",1,-1),""))</f>
        <v/>
      </c>
      <c r="R102" s="42" t="str">
        <f aca="false">IF(OR(N102="",$G102=""),"",IFERROR(N102*M102*G102,""))</f>
        <v/>
      </c>
      <c r="S102" s="42" t="str">
        <f aca="false">IF(OR(Q102="",$G102=""),"",IFERROR(Q102*M102*G102,""))</f>
        <v/>
      </c>
      <c r="T102" s="41" t="str">
        <f aca="false">IF(OR(S102="",R102="",R102=0),"",S102/R102)</f>
        <v/>
      </c>
      <c r="U102" s="43" t="str">
        <f aca="false">IF(S102="","",IF(S102&gt;0,"Win",IF(S102&lt;0,"Loss","BE")))</f>
        <v/>
      </c>
      <c r="V102" s="44" t="str">
        <f aca="false">IF(OR($H102="",R102=""),"",IFERROR(R102/(W102-S102),""))</f>
        <v/>
      </c>
      <c r="W102" s="45" t="str">
        <f aca="false">IF($H102="","",Settings!$B$3+SUM($S$2:S102))</f>
        <v/>
      </c>
      <c r="X102" s="45" t="str">
        <f aca="false">IF($H102="","",MAX(Settings!$B$3,MAX($W$2:W102)))</f>
        <v/>
      </c>
      <c r="Y102" s="44" t="str">
        <f aca="false">IF(OR($H102="",X102=""),"",IFERROR((W102-X102)/X102,""))</f>
        <v/>
      </c>
      <c r="Z102" s="35"/>
    </row>
    <row r="103" customFormat="false" ht="15" hidden="false" customHeight="true" outlineLevel="0" collapsed="false">
      <c r="A103" s="34" t="str">
        <f aca="false">IF($H103="","",ROW()-1)</f>
        <v/>
      </c>
      <c r="B103" s="35"/>
      <c r="C103" s="35"/>
      <c r="D103" s="34"/>
      <c r="E103" s="34"/>
      <c r="F103" s="35"/>
      <c r="G103" s="36"/>
      <c r="H103" s="37"/>
      <c r="I103" s="37"/>
      <c r="J103" s="37"/>
      <c r="K103" s="37"/>
      <c r="L103" s="38" t="str">
        <f aca="false">IFERROR(VLOOKUP($C103,Settings!$A$9:$C$28,2,FALSE()),"")</f>
        <v/>
      </c>
      <c r="M103" s="39" t="str">
        <f aca="false">IFERROR(VLOOKUP($C103,Settings!$A$9:$C$28,3,FALSE()),"")</f>
        <v/>
      </c>
      <c r="N103" s="40" t="str">
        <f aca="false">IF(OR($H103="",$I103=""),"",IFERROR(ABS(H103-I103)/L103,""))</f>
        <v/>
      </c>
      <c r="O103" s="40" t="str">
        <f aca="false">IF(OR($H103="",$J103=""),"",IFERROR(ABS(J103-H103)/L103,""))</f>
        <v/>
      </c>
      <c r="P103" s="41" t="str">
        <f aca="false">IF(OR(N103="",O103="",N103=0),"",O103/N103)</f>
        <v/>
      </c>
      <c r="Q103" s="40" t="str">
        <f aca="false">IF(OR($H103="",$K103=""),"",IFERROR(((K103-H103)/L103)*IF($D103="Buy",1,-1),""))</f>
        <v/>
      </c>
      <c r="R103" s="42" t="str">
        <f aca="false">IF(OR(N103="",$G103=""),"",IFERROR(N103*M103*G103,""))</f>
        <v/>
      </c>
      <c r="S103" s="42" t="str">
        <f aca="false">IF(OR(Q103="",$G103=""),"",IFERROR(Q103*M103*G103,""))</f>
        <v/>
      </c>
      <c r="T103" s="41" t="str">
        <f aca="false">IF(OR(S103="",R103="",R103=0),"",S103/R103)</f>
        <v/>
      </c>
      <c r="U103" s="43" t="str">
        <f aca="false">IF(S103="","",IF(S103&gt;0,"Win",IF(S103&lt;0,"Loss","BE")))</f>
        <v/>
      </c>
      <c r="V103" s="44" t="str">
        <f aca="false">IF(OR($H103="",R103=""),"",IFERROR(R103/(W103-S103),""))</f>
        <v/>
      </c>
      <c r="W103" s="45" t="str">
        <f aca="false">IF($H103="","",Settings!$B$3+SUM($S$2:S103))</f>
        <v/>
      </c>
      <c r="X103" s="45" t="str">
        <f aca="false">IF($H103="","",MAX(Settings!$B$3,MAX($W$2:W103)))</f>
        <v/>
      </c>
      <c r="Y103" s="44" t="str">
        <f aca="false">IF(OR($H103="",X103=""),"",IFERROR((W103-X103)/X103,""))</f>
        <v/>
      </c>
      <c r="Z103" s="35"/>
    </row>
    <row r="104" customFormat="false" ht="15" hidden="false" customHeight="true" outlineLevel="0" collapsed="false">
      <c r="A104" s="34" t="str">
        <f aca="false">IF($H104="","",ROW()-1)</f>
        <v/>
      </c>
      <c r="B104" s="35"/>
      <c r="C104" s="35"/>
      <c r="D104" s="34"/>
      <c r="E104" s="34"/>
      <c r="F104" s="35"/>
      <c r="G104" s="36"/>
      <c r="H104" s="37"/>
      <c r="I104" s="37"/>
      <c r="J104" s="37"/>
      <c r="K104" s="37"/>
      <c r="L104" s="38" t="str">
        <f aca="false">IFERROR(VLOOKUP($C104,Settings!$A$9:$C$28,2,FALSE()),"")</f>
        <v/>
      </c>
      <c r="M104" s="39" t="str">
        <f aca="false">IFERROR(VLOOKUP($C104,Settings!$A$9:$C$28,3,FALSE()),"")</f>
        <v/>
      </c>
      <c r="N104" s="40" t="str">
        <f aca="false">IF(OR($H104="",$I104=""),"",IFERROR(ABS(H104-I104)/L104,""))</f>
        <v/>
      </c>
      <c r="O104" s="40" t="str">
        <f aca="false">IF(OR($H104="",$J104=""),"",IFERROR(ABS(J104-H104)/L104,""))</f>
        <v/>
      </c>
      <c r="P104" s="41" t="str">
        <f aca="false">IF(OR(N104="",O104="",N104=0),"",O104/N104)</f>
        <v/>
      </c>
      <c r="Q104" s="40" t="str">
        <f aca="false">IF(OR($H104="",$K104=""),"",IFERROR(((K104-H104)/L104)*IF($D104="Buy",1,-1),""))</f>
        <v/>
      </c>
      <c r="R104" s="42" t="str">
        <f aca="false">IF(OR(N104="",$G104=""),"",IFERROR(N104*M104*G104,""))</f>
        <v/>
      </c>
      <c r="S104" s="42" t="str">
        <f aca="false">IF(OR(Q104="",$G104=""),"",IFERROR(Q104*M104*G104,""))</f>
        <v/>
      </c>
      <c r="T104" s="41" t="str">
        <f aca="false">IF(OR(S104="",R104="",R104=0),"",S104/R104)</f>
        <v/>
      </c>
      <c r="U104" s="43" t="str">
        <f aca="false">IF(S104="","",IF(S104&gt;0,"Win",IF(S104&lt;0,"Loss","BE")))</f>
        <v/>
      </c>
      <c r="V104" s="44" t="str">
        <f aca="false">IF(OR($H104="",R104=""),"",IFERROR(R104/(W104-S104),""))</f>
        <v/>
      </c>
      <c r="W104" s="45" t="str">
        <f aca="false">IF($H104="","",Settings!$B$3+SUM($S$2:S104))</f>
        <v/>
      </c>
      <c r="X104" s="45" t="str">
        <f aca="false">IF($H104="","",MAX(Settings!$B$3,MAX($W$2:W104)))</f>
        <v/>
      </c>
      <c r="Y104" s="44" t="str">
        <f aca="false">IF(OR($H104="",X104=""),"",IFERROR((W104-X104)/X104,""))</f>
        <v/>
      </c>
      <c r="Z104" s="35"/>
    </row>
    <row r="105" customFormat="false" ht="15" hidden="false" customHeight="true" outlineLevel="0" collapsed="false">
      <c r="A105" s="34" t="str">
        <f aca="false">IF($H105="","",ROW()-1)</f>
        <v/>
      </c>
      <c r="B105" s="35"/>
      <c r="C105" s="35"/>
      <c r="D105" s="34"/>
      <c r="E105" s="34"/>
      <c r="F105" s="35"/>
      <c r="G105" s="36"/>
      <c r="H105" s="37"/>
      <c r="I105" s="37"/>
      <c r="J105" s="37"/>
      <c r="K105" s="37"/>
      <c r="L105" s="38" t="str">
        <f aca="false">IFERROR(VLOOKUP($C105,Settings!$A$9:$C$28,2,FALSE()),"")</f>
        <v/>
      </c>
      <c r="M105" s="39" t="str">
        <f aca="false">IFERROR(VLOOKUP($C105,Settings!$A$9:$C$28,3,FALSE()),"")</f>
        <v/>
      </c>
      <c r="N105" s="40" t="str">
        <f aca="false">IF(OR($H105="",$I105=""),"",IFERROR(ABS(H105-I105)/L105,""))</f>
        <v/>
      </c>
      <c r="O105" s="40" t="str">
        <f aca="false">IF(OR($H105="",$J105=""),"",IFERROR(ABS(J105-H105)/L105,""))</f>
        <v/>
      </c>
      <c r="P105" s="41" t="str">
        <f aca="false">IF(OR(N105="",O105="",N105=0),"",O105/N105)</f>
        <v/>
      </c>
      <c r="Q105" s="40" t="str">
        <f aca="false">IF(OR($H105="",$K105=""),"",IFERROR(((K105-H105)/L105)*IF($D105="Buy",1,-1),""))</f>
        <v/>
      </c>
      <c r="R105" s="42" t="str">
        <f aca="false">IF(OR(N105="",$G105=""),"",IFERROR(N105*M105*G105,""))</f>
        <v/>
      </c>
      <c r="S105" s="42" t="str">
        <f aca="false">IF(OR(Q105="",$G105=""),"",IFERROR(Q105*M105*G105,""))</f>
        <v/>
      </c>
      <c r="T105" s="41" t="str">
        <f aca="false">IF(OR(S105="",R105="",R105=0),"",S105/R105)</f>
        <v/>
      </c>
      <c r="U105" s="43" t="str">
        <f aca="false">IF(S105="","",IF(S105&gt;0,"Win",IF(S105&lt;0,"Loss","BE")))</f>
        <v/>
      </c>
      <c r="V105" s="44" t="str">
        <f aca="false">IF(OR($H105="",R105=""),"",IFERROR(R105/(W105-S105),""))</f>
        <v/>
      </c>
      <c r="W105" s="45" t="str">
        <f aca="false">IF($H105="","",Settings!$B$3+SUM($S$2:S105))</f>
        <v/>
      </c>
      <c r="X105" s="45" t="str">
        <f aca="false">IF($H105="","",MAX(Settings!$B$3,MAX($W$2:W105)))</f>
        <v/>
      </c>
      <c r="Y105" s="44" t="str">
        <f aca="false">IF(OR($H105="",X105=""),"",IFERROR((W105-X105)/X105,""))</f>
        <v/>
      </c>
      <c r="Z105" s="35"/>
    </row>
    <row r="106" customFormat="false" ht="15" hidden="false" customHeight="true" outlineLevel="0" collapsed="false">
      <c r="A106" s="34" t="str">
        <f aca="false">IF($H106="","",ROW()-1)</f>
        <v/>
      </c>
      <c r="B106" s="35"/>
      <c r="C106" s="35"/>
      <c r="D106" s="34"/>
      <c r="E106" s="34"/>
      <c r="F106" s="35"/>
      <c r="G106" s="36"/>
      <c r="H106" s="37"/>
      <c r="I106" s="37"/>
      <c r="J106" s="37"/>
      <c r="K106" s="37"/>
      <c r="L106" s="38" t="str">
        <f aca="false">IFERROR(VLOOKUP($C106,Settings!$A$9:$C$28,2,FALSE()),"")</f>
        <v/>
      </c>
      <c r="M106" s="39" t="str">
        <f aca="false">IFERROR(VLOOKUP($C106,Settings!$A$9:$C$28,3,FALSE()),"")</f>
        <v/>
      </c>
      <c r="N106" s="40" t="str">
        <f aca="false">IF(OR($H106="",$I106=""),"",IFERROR(ABS(H106-I106)/L106,""))</f>
        <v/>
      </c>
      <c r="O106" s="40" t="str">
        <f aca="false">IF(OR($H106="",$J106=""),"",IFERROR(ABS(J106-H106)/L106,""))</f>
        <v/>
      </c>
      <c r="P106" s="41" t="str">
        <f aca="false">IF(OR(N106="",O106="",N106=0),"",O106/N106)</f>
        <v/>
      </c>
      <c r="Q106" s="40" t="str">
        <f aca="false">IF(OR($H106="",$K106=""),"",IFERROR(((K106-H106)/L106)*IF($D106="Buy",1,-1),""))</f>
        <v/>
      </c>
      <c r="R106" s="42" t="str">
        <f aca="false">IF(OR(N106="",$G106=""),"",IFERROR(N106*M106*G106,""))</f>
        <v/>
      </c>
      <c r="S106" s="42" t="str">
        <f aca="false">IF(OR(Q106="",$G106=""),"",IFERROR(Q106*M106*G106,""))</f>
        <v/>
      </c>
      <c r="T106" s="41" t="str">
        <f aca="false">IF(OR(S106="",R106="",R106=0),"",S106/R106)</f>
        <v/>
      </c>
      <c r="U106" s="43" t="str">
        <f aca="false">IF(S106="","",IF(S106&gt;0,"Win",IF(S106&lt;0,"Loss","BE")))</f>
        <v/>
      </c>
      <c r="V106" s="44" t="str">
        <f aca="false">IF(OR($H106="",R106=""),"",IFERROR(R106/(W106-S106),""))</f>
        <v/>
      </c>
      <c r="W106" s="45" t="str">
        <f aca="false">IF($H106="","",Settings!$B$3+SUM($S$2:S106))</f>
        <v/>
      </c>
      <c r="X106" s="45" t="str">
        <f aca="false">IF($H106="","",MAX(Settings!$B$3,MAX($W$2:W106)))</f>
        <v/>
      </c>
      <c r="Y106" s="44" t="str">
        <f aca="false">IF(OR($H106="",X106=""),"",IFERROR((W106-X106)/X106,""))</f>
        <v/>
      </c>
      <c r="Z106" s="35"/>
    </row>
    <row r="107" customFormat="false" ht="15" hidden="false" customHeight="true" outlineLevel="0" collapsed="false">
      <c r="A107" s="34" t="str">
        <f aca="false">IF($H107="","",ROW()-1)</f>
        <v/>
      </c>
      <c r="B107" s="35"/>
      <c r="C107" s="35"/>
      <c r="D107" s="34"/>
      <c r="E107" s="34"/>
      <c r="F107" s="35"/>
      <c r="G107" s="36"/>
      <c r="H107" s="37"/>
      <c r="I107" s="37"/>
      <c r="J107" s="37"/>
      <c r="K107" s="37"/>
      <c r="L107" s="38" t="str">
        <f aca="false">IFERROR(VLOOKUP($C107,Settings!$A$9:$C$28,2,FALSE()),"")</f>
        <v/>
      </c>
      <c r="M107" s="39" t="str">
        <f aca="false">IFERROR(VLOOKUP($C107,Settings!$A$9:$C$28,3,FALSE()),"")</f>
        <v/>
      </c>
      <c r="N107" s="40" t="str">
        <f aca="false">IF(OR($H107="",$I107=""),"",IFERROR(ABS(H107-I107)/L107,""))</f>
        <v/>
      </c>
      <c r="O107" s="40" t="str">
        <f aca="false">IF(OR($H107="",$J107=""),"",IFERROR(ABS(J107-H107)/L107,""))</f>
        <v/>
      </c>
      <c r="P107" s="41" t="str">
        <f aca="false">IF(OR(N107="",O107="",N107=0),"",O107/N107)</f>
        <v/>
      </c>
      <c r="Q107" s="40" t="str">
        <f aca="false">IF(OR($H107="",$K107=""),"",IFERROR(((K107-H107)/L107)*IF($D107="Buy",1,-1),""))</f>
        <v/>
      </c>
      <c r="R107" s="42" t="str">
        <f aca="false">IF(OR(N107="",$G107=""),"",IFERROR(N107*M107*G107,""))</f>
        <v/>
      </c>
      <c r="S107" s="42" t="str">
        <f aca="false">IF(OR(Q107="",$G107=""),"",IFERROR(Q107*M107*G107,""))</f>
        <v/>
      </c>
      <c r="T107" s="41" t="str">
        <f aca="false">IF(OR(S107="",R107="",R107=0),"",S107/R107)</f>
        <v/>
      </c>
      <c r="U107" s="43" t="str">
        <f aca="false">IF(S107="","",IF(S107&gt;0,"Win",IF(S107&lt;0,"Loss","BE")))</f>
        <v/>
      </c>
      <c r="V107" s="44" t="str">
        <f aca="false">IF(OR($H107="",R107=""),"",IFERROR(R107/(W107-S107),""))</f>
        <v/>
      </c>
      <c r="W107" s="45" t="str">
        <f aca="false">IF($H107="","",Settings!$B$3+SUM($S$2:S107))</f>
        <v/>
      </c>
      <c r="X107" s="45" t="str">
        <f aca="false">IF($H107="","",MAX(Settings!$B$3,MAX($W$2:W107)))</f>
        <v/>
      </c>
      <c r="Y107" s="44" t="str">
        <f aca="false">IF(OR($H107="",X107=""),"",IFERROR((W107-X107)/X107,""))</f>
        <v/>
      </c>
      <c r="Z107" s="35"/>
    </row>
    <row r="108" customFormat="false" ht="15" hidden="false" customHeight="true" outlineLevel="0" collapsed="false">
      <c r="A108" s="34" t="str">
        <f aca="false">IF($H108="","",ROW()-1)</f>
        <v/>
      </c>
      <c r="B108" s="35"/>
      <c r="C108" s="35"/>
      <c r="D108" s="34"/>
      <c r="E108" s="34"/>
      <c r="F108" s="35"/>
      <c r="G108" s="36"/>
      <c r="H108" s="37"/>
      <c r="I108" s="37"/>
      <c r="J108" s="37"/>
      <c r="K108" s="37"/>
      <c r="L108" s="38" t="str">
        <f aca="false">IFERROR(VLOOKUP($C108,Settings!$A$9:$C$28,2,FALSE()),"")</f>
        <v/>
      </c>
      <c r="M108" s="39" t="str">
        <f aca="false">IFERROR(VLOOKUP($C108,Settings!$A$9:$C$28,3,FALSE()),"")</f>
        <v/>
      </c>
      <c r="N108" s="40" t="str">
        <f aca="false">IF(OR($H108="",$I108=""),"",IFERROR(ABS(H108-I108)/L108,""))</f>
        <v/>
      </c>
      <c r="O108" s="40" t="str">
        <f aca="false">IF(OR($H108="",$J108=""),"",IFERROR(ABS(J108-H108)/L108,""))</f>
        <v/>
      </c>
      <c r="P108" s="41" t="str">
        <f aca="false">IF(OR(N108="",O108="",N108=0),"",O108/N108)</f>
        <v/>
      </c>
      <c r="Q108" s="40" t="str">
        <f aca="false">IF(OR($H108="",$K108=""),"",IFERROR(((K108-H108)/L108)*IF($D108="Buy",1,-1),""))</f>
        <v/>
      </c>
      <c r="R108" s="42" t="str">
        <f aca="false">IF(OR(N108="",$G108=""),"",IFERROR(N108*M108*G108,""))</f>
        <v/>
      </c>
      <c r="S108" s="42" t="str">
        <f aca="false">IF(OR(Q108="",$G108=""),"",IFERROR(Q108*M108*G108,""))</f>
        <v/>
      </c>
      <c r="T108" s="41" t="str">
        <f aca="false">IF(OR(S108="",R108="",R108=0),"",S108/R108)</f>
        <v/>
      </c>
      <c r="U108" s="43" t="str">
        <f aca="false">IF(S108="","",IF(S108&gt;0,"Win",IF(S108&lt;0,"Loss","BE")))</f>
        <v/>
      </c>
      <c r="V108" s="44" t="str">
        <f aca="false">IF(OR($H108="",R108=""),"",IFERROR(R108/(W108-S108),""))</f>
        <v/>
      </c>
      <c r="W108" s="45" t="str">
        <f aca="false">IF($H108="","",Settings!$B$3+SUM($S$2:S108))</f>
        <v/>
      </c>
      <c r="X108" s="45" t="str">
        <f aca="false">IF($H108="","",MAX(Settings!$B$3,MAX($W$2:W108)))</f>
        <v/>
      </c>
      <c r="Y108" s="44" t="str">
        <f aca="false">IF(OR($H108="",X108=""),"",IFERROR((W108-X108)/X108,""))</f>
        <v/>
      </c>
      <c r="Z108" s="35"/>
    </row>
    <row r="109" customFormat="false" ht="15" hidden="false" customHeight="true" outlineLevel="0" collapsed="false">
      <c r="A109" s="34" t="str">
        <f aca="false">IF($H109="","",ROW()-1)</f>
        <v/>
      </c>
      <c r="B109" s="35"/>
      <c r="C109" s="35"/>
      <c r="D109" s="34"/>
      <c r="E109" s="34"/>
      <c r="F109" s="35"/>
      <c r="G109" s="36"/>
      <c r="H109" s="37"/>
      <c r="I109" s="37"/>
      <c r="J109" s="37"/>
      <c r="K109" s="37"/>
      <c r="L109" s="38" t="str">
        <f aca="false">IFERROR(VLOOKUP($C109,Settings!$A$9:$C$28,2,FALSE()),"")</f>
        <v/>
      </c>
      <c r="M109" s="39" t="str">
        <f aca="false">IFERROR(VLOOKUP($C109,Settings!$A$9:$C$28,3,FALSE()),"")</f>
        <v/>
      </c>
      <c r="N109" s="40" t="str">
        <f aca="false">IF(OR($H109="",$I109=""),"",IFERROR(ABS(H109-I109)/L109,""))</f>
        <v/>
      </c>
      <c r="O109" s="40" t="str">
        <f aca="false">IF(OR($H109="",$J109=""),"",IFERROR(ABS(J109-H109)/L109,""))</f>
        <v/>
      </c>
      <c r="P109" s="41" t="str">
        <f aca="false">IF(OR(N109="",O109="",N109=0),"",O109/N109)</f>
        <v/>
      </c>
      <c r="Q109" s="40" t="str">
        <f aca="false">IF(OR($H109="",$K109=""),"",IFERROR(((K109-H109)/L109)*IF($D109="Buy",1,-1),""))</f>
        <v/>
      </c>
      <c r="R109" s="42" t="str">
        <f aca="false">IF(OR(N109="",$G109=""),"",IFERROR(N109*M109*G109,""))</f>
        <v/>
      </c>
      <c r="S109" s="42" t="str">
        <f aca="false">IF(OR(Q109="",$G109=""),"",IFERROR(Q109*M109*G109,""))</f>
        <v/>
      </c>
      <c r="T109" s="41" t="str">
        <f aca="false">IF(OR(S109="",R109="",R109=0),"",S109/R109)</f>
        <v/>
      </c>
      <c r="U109" s="43" t="str">
        <f aca="false">IF(S109="","",IF(S109&gt;0,"Win",IF(S109&lt;0,"Loss","BE")))</f>
        <v/>
      </c>
      <c r="V109" s="44" t="str">
        <f aca="false">IF(OR($H109="",R109=""),"",IFERROR(R109/(W109-S109),""))</f>
        <v/>
      </c>
      <c r="W109" s="45" t="str">
        <f aca="false">IF($H109="","",Settings!$B$3+SUM($S$2:S109))</f>
        <v/>
      </c>
      <c r="X109" s="45" t="str">
        <f aca="false">IF($H109="","",MAX(Settings!$B$3,MAX($W$2:W109)))</f>
        <v/>
      </c>
      <c r="Y109" s="44" t="str">
        <f aca="false">IF(OR($H109="",X109=""),"",IFERROR((W109-X109)/X109,""))</f>
        <v/>
      </c>
      <c r="Z109" s="35"/>
    </row>
    <row r="110" customFormat="false" ht="15" hidden="false" customHeight="true" outlineLevel="0" collapsed="false">
      <c r="A110" s="34" t="str">
        <f aca="false">IF($H110="","",ROW()-1)</f>
        <v/>
      </c>
      <c r="B110" s="35"/>
      <c r="C110" s="35"/>
      <c r="D110" s="34"/>
      <c r="E110" s="34"/>
      <c r="F110" s="35"/>
      <c r="G110" s="36"/>
      <c r="H110" s="37"/>
      <c r="I110" s="37"/>
      <c r="J110" s="37"/>
      <c r="K110" s="37"/>
      <c r="L110" s="38" t="str">
        <f aca="false">IFERROR(VLOOKUP($C110,Settings!$A$9:$C$28,2,FALSE()),"")</f>
        <v/>
      </c>
      <c r="M110" s="39" t="str">
        <f aca="false">IFERROR(VLOOKUP($C110,Settings!$A$9:$C$28,3,FALSE()),"")</f>
        <v/>
      </c>
      <c r="N110" s="40" t="str">
        <f aca="false">IF(OR($H110="",$I110=""),"",IFERROR(ABS(H110-I110)/L110,""))</f>
        <v/>
      </c>
      <c r="O110" s="40" t="str">
        <f aca="false">IF(OR($H110="",$J110=""),"",IFERROR(ABS(J110-H110)/L110,""))</f>
        <v/>
      </c>
      <c r="P110" s="41" t="str">
        <f aca="false">IF(OR(N110="",O110="",N110=0),"",O110/N110)</f>
        <v/>
      </c>
      <c r="Q110" s="40" t="str">
        <f aca="false">IF(OR($H110="",$K110=""),"",IFERROR(((K110-H110)/L110)*IF($D110="Buy",1,-1),""))</f>
        <v/>
      </c>
      <c r="R110" s="42" t="str">
        <f aca="false">IF(OR(N110="",$G110=""),"",IFERROR(N110*M110*G110,""))</f>
        <v/>
      </c>
      <c r="S110" s="42" t="str">
        <f aca="false">IF(OR(Q110="",$G110=""),"",IFERROR(Q110*M110*G110,""))</f>
        <v/>
      </c>
      <c r="T110" s="41" t="str">
        <f aca="false">IF(OR(S110="",R110="",R110=0),"",S110/R110)</f>
        <v/>
      </c>
      <c r="U110" s="43" t="str">
        <f aca="false">IF(S110="","",IF(S110&gt;0,"Win",IF(S110&lt;0,"Loss","BE")))</f>
        <v/>
      </c>
      <c r="V110" s="44" t="str">
        <f aca="false">IF(OR($H110="",R110=""),"",IFERROR(R110/(W110-S110),""))</f>
        <v/>
      </c>
      <c r="W110" s="45" t="str">
        <f aca="false">IF($H110="","",Settings!$B$3+SUM($S$2:S110))</f>
        <v/>
      </c>
      <c r="X110" s="45" t="str">
        <f aca="false">IF($H110="","",MAX(Settings!$B$3,MAX($W$2:W110)))</f>
        <v/>
      </c>
      <c r="Y110" s="44" t="str">
        <f aca="false">IF(OR($H110="",X110=""),"",IFERROR((W110-X110)/X110,""))</f>
        <v/>
      </c>
      <c r="Z110" s="35"/>
    </row>
    <row r="111" customFormat="false" ht="15" hidden="false" customHeight="true" outlineLevel="0" collapsed="false">
      <c r="A111" s="34" t="str">
        <f aca="false">IF($H111="","",ROW()-1)</f>
        <v/>
      </c>
      <c r="B111" s="35"/>
      <c r="C111" s="35"/>
      <c r="D111" s="34"/>
      <c r="E111" s="34"/>
      <c r="F111" s="35"/>
      <c r="G111" s="36"/>
      <c r="H111" s="37"/>
      <c r="I111" s="37"/>
      <c r="J111" s="37"/>
      <c r="K111" s="37"/>
      <c r="L111" s="38" t="str">
        <f aca="false">IFERROR(VLOOKUP($C111,Settings!$A$9:$C$28,2,FALSE()),"")</f>
        <v/>
      </c>
      <c r="M111" s="39" t="str">
        <f aca="false">IFERROR(VLOOKUP($C111,Settings!$A$9:$C$28,3,FALSE()),"")</f>
        <v/>
      </c>
      <c r="N111" s="40" t="str">
        <f aca="false">IF(OR($H111="",$I111=""),"",IFERROR(ABS(H111-I111)/L111,""))</f>
        <v/>
      </c>
      <c r="O111" s="40" t="str">
        <f aca="false">IF(OR($H111="",$J111=""),"",IFERROR(ABS(J111-H111)/L111,""))</f>
        <v/>
      </c>
      <c r="P111" s="41" t="str">
        <f aca="false">IF(OR(N111="",O111="",N111=0),"",O111/N111)</f>
        <v/>
      </c>
      <c r="Q111" s="40" t="str">
        <f aca="false">IF(OR($H111="",$K111=""),"",IFERROR(((K111-H111)/L111)*IF($D111="Buy",1,-1),""))</f>
        <v/>
      </c>
      <c r="R111" s="42" t="str">
        <f aca="false">IF(OR(N111="",$G111=""),"",IFERROR(N111*M111*G111,""))</f>
        <v/>
      </c>
      <c r="S111" s="42" t="str">
        <f aca="false">IF(OR(Q111="",$G111=""),"",IFERROR(Q111*M111*G111,""))</f>
        <v/>
      </c>
      <c r="T111" s="41" t="str">
        <f aca="false">IF(OR(S111="",R111="",R111=0),"",S111/R111)</f>
        <v/>
      </c>
      <c r="U111" s="43" t="str">
        <f aca="false">IF(S111="","",IF(S111&gt;0,"Win",IF(S111&lt;0,"Loss","BE")))</f>
        <v/>
      </c>
      <c r="V111" s="44" t="str">
        <f aca="false">IF(OR($H111="",R111=""),"",IFERROR(R111/(W111-S111),""))</f>
        <v/>
      </c>
      <c r="W111" s="45" t="str">
        <f aca="false">IF($H111="","",Settings!$B$3+SUM($S$2:S111))</f>
        <v/>
      </c>
      <c r="X111" s="45" t="str">
        <f aca="false">IF($H111="","",MAX(Settings!$B$3,MAX($W$2:W111)))</f>
        <v/>
      </c>
      <c r="Y111" s="44" t="str">
        <f aca="false">IF(OR($H111="",X111=""),"",IFERROR((W111-X111)/X111,""))</f>
        <v/>
      </c>
      <c r="Z111" s="35"/>
    </row>
    <row r="112" customFormat="false" ht="15" hidden="false" customHeight="true" outlineLevel="0" collapsed="false">
      <c r="A112" s="34" t="str">
        <f aca="false">IF($H112="","",ROW()-1)</f>
        <v/>
      </c>
      <c r="B112" s="35"/>
      <c r="C112" s="35"/>
      <c r="D112" s="34"/>
      <c r="E112" s="34"/>
      <c r="F112" s="35"/>
      <c r="G112" s="36"/>
      <c r="H112" s="37"/>
      <c r="I112" s="37"/>
      <c r="J112" s="37"/>
      <c r="K112" s="37"/>
      <c r="L112" s="38" t="str">
        <f aca="false">IFERROR(VLOOKUP($C112,Settings!$A$9:$C$28,2,FALSE()),"")</f>
        <v/>
      </c>
      <c r="M112" s="39" t="str">
        <f aca="false">IFERROR(VLOOKUP($C112,Settings!$A$9:$C$28,3,FALSE()),"")</f>
        <v/>
      </c>
      <c r="N112" s="40" t="str">
        <f aca="false">IF(OR($H112="",$I112=""),"",IFERROR(ABS(H112-I112)/L112,""))</f>
        <v/>
      </c>
      <c r="O112" s="40" t="str">
        <f aca="false">IF(OR($H112="",$J112=""),"",IFERROR(ABS(J112-H112)/L112,""))</f>
        <v/>
      </c>
      <c r="P112" s="41" t="str">
        <f aca="false">IF(OR(N112="",O112="",N112=0),"",O112/N112)</f>
        <v/>
      </c>
      <c r="Q112" s="40" t="str">
        <f aca="false">IF(OR($H112="",$K112=""),"",IFERROR(((K112-H112)/L112)*IF($D112="Buy",1,-1),""))</f>
        <v/>
      </c>
      <c r="R112" s="42" t="str">
        <f aca="false">IF(OR(N112="",$G112=""),"",IFERROR(N112*M112*G112,""))</f>
        <v/>
      </c>
      <c r="S112" s="42" t="str">
        <f aca="false">IF(OR(Q112="",$G112=""),"",IFERROR(Q112*M112*G112,""))</f>
        <v/>
      </c>
      <c r="T112" s="41" t="str">
        <f aca="false">IF(OR(S112="",R112="",R112=0),"",S112/R112)</f>
        <v/>
      </c>
      <c r="U112" s="43" t="str">
        <f aca="false">IF(S112="","",IF(S112&gt;0,"Win",IF(S112&lt;0,"Loss","BE")))</f>
        <v/>
      </c>
      <c r="V112" s="44" t="str">
        <f aca="false">IF(OR($H112="",R112=""),"",IFERROR(R112/(W112-S112),""))</f>
        <v/>
      </c>
      <c r="W112" s="45" t="str">
        <f aca="false">IF($H112="","",Settings!$B$3+SUM($S$2:S112))</f>
        <v/>
      </c>
      <c r="X112" s="45" t="str">
        <f aca="false">IF($H112="","",MAX(Settings!$B$3,MAX($W$2:W112)))</f>
        <v/>
      </c>
      <c r="Y112" s="44" t="str">
        <f aca="false">IF(OR($H112="",X112=""),"",IFERROR((W112-X112)/X112,""))</f>
        <v/>
      </c>
      <c r="Z112" s="35"/>
    </row>
    <row r="113" customFormat="false" ht="15" hidden="false" customHeight="true" outlineLevel="0" collapsed="false">
      <c r="A113" s="34" t="str">
        <f aca="false">IF($H113="","",ROW()-1)</f>
        <v/>
      </c>
      <c r="B113" s="35"/>
      <c r="C113" s="35"/>
      <c r="D113" s="34"/>
      <c r="E113" s="34"/>
      <c r="F113" s="35"/>
      <c r="G113" s="36"/>
      <c r="H113" s="37"/>
      <c r="I113" s="37"/>
      <c r="J113" s="37"/>
      <c r="K113" s="37"/>
      <c r="L113" s="38" t="str">
        <f aca="false">IFERROR(VLOOKUP($C113,Settings!$A$9:$C$28,2,FALSE()),"")</f>
        <v/>
      </c>
      <c r="M113" s="39" t="str">
        <f aca="false">IFERROR(VLOOKUP($C113,Settings!$A$9:$C$28,3,FALSE()),"")</f>
        <v/>
      </c>
      <c r="N113" s="40" t="str">
        <f aca="false">IF(OR($H113="",$I113=""),"",IFERROR(ABS(H113-I113)/L113,""))</f>
        <v/>
      </c>
      <c r="O113" s="40" t="str">
        <f aca="false">IF(OR($H113="",$J113=""),"",IFERROR(ABS(J113-H113)/L113,""))</f>
        <v/>
      </c>
      <c r="P113" s="41" t="str">
        <f aca="false">IF(OR(N113="",O113="",N113=0),"",O113/N113)</f>
        <v/>
      </c>
      <c r="Q113" s="40" t="str">
        <f aca="false">IF(OR($H113="",$K113=""),"",IFERROR(((K113-H113)/L113)*IF($D113="Buy",1,-1),""))</f>
        <v/>
      </c>
      <c r="R113" s="42" t="str">
        <f aca="false">IF(OR(N113="",$G113=""),"",IFERROR(N113*M113*G113,""))</f>
        <v/>
      </c>
      <c r="S113" s="42" t="str">
        <f aca="false">IF(OR(Q113="",$G113=""),"",IFERROR(Q113*M113*G113,""))</f>
        <v/>
      </c>
      <c r="T113" s="41" t="str">
        <f aca="false">IF(OR(S113="",R113="",R113=0),"",S113/R113)</f>
        <v/>
      </c>
      <c r="U113" s="43" t="str">
        <f aca="false">IF(S113="","",IF(S113&gt;0,"Win",IF(S113&lt;0,"Loss","BE")))</f>
        <v/>
      </c>
      <c r="V113" s="44" t="str">
        <f aca="false">IF(OR($H113="",R113=""),"",IFERROR(R113/(W113-S113),""))</f>
        <v/>
      </c>
      <c r="W113" s="45" t="str">
        <f aca="false">IF($H113="","",Settings!$B$3+SUM($S$2:S113))</f>
        <v/>
      </c>
      <c r="X113" s="45" t="str">
        <f aca="false">IF($H113="","",MAX(Settings!$B$3,MAX($W$2:W113)))</f>
        <v/>
      </c>
      <c r="Y113" s="44" t="str">
        <f aca="false">IF(OR($H113="",X113=""),"",IFERROR((W113-X113)/X113,""))</f>
        <v/>
      </c>
      <c r="Z113" s="35"/>
    </row>
    <row r="114" customFormat="false" ht="15" hidden="false" customHeight="true" outlineLevel="0" collapsed="false">
      <c r="A114" s="34" t="str">
        <f aca="false">IF($H114="","",ROW()-1)</f>
        <v/>
      </c>
      <c r="B114" s="35"/>
      <c r="C114" s="35"/>
      <c r="D114" s="34"/>
      <c r="E114" s="34"/>
      <c r="F114" s="35"/>
      <c r="G114" s="36"/>
      <c r="H114" s="37"/>
      <c r="I114" s="37"/>
      <c r="J114" s="37"/>
      <c r="K114" s="37"/>
      <c r="L114" s="38" t="str">
        <f aca="false">IFERROR(VLOOKUP($C114,Settings!$A$9:$C$28,2,FALSE()),"")</f>
        <v/>
      </c>
      <c r="M114" s="39" t="str">
        <f aca="false">IFERROR(VLOOKUP($C114,Settings!$A$9:$C$28,3,FALSE()),"")</f>
        <v/>
      </c>
      <c r="N114" s="40" t="str">
        <f aca="false">IF(OR($H114="",$I114=""),"",IFERROR(ABS(H114-I114)/L114,""))</f>
        <v/>
      </c>
      <c r="O114" s="40" t="str">
        <f aca="false">IF(OR($H114="",$J114=""),"",IFERROR(ABS(J114-H114)/L114,""))</f>
        <v/>
      </c>
      <c r="P114" s="41" t="str">
        <f aca="false">IF(OR(N114="",O114="",N114=0),"",O114/N114)</f>
        <v/>
      </c>
      <c r="Q114" s="40" t="str">
        <f aca="false">IF(OR($H114="",$K114=""),"",IFERROR(((K114-H114)/L114)*IF($D114="Buy",1,-1),""))</f>
        <v/>
      </c>
      <c r="R114" s="42" t="str">
        <f aca="false">IF(OR(N114="",$G114=""),"",IFERROR(N114*M114*G114,""))</f>
        <v/>
      </c>
      <c r="S114" s="42" t="str">
        <f aca="false">IF(OR(Q114="",$G114=""),"",IFERROR(Q114*M114*G114,""))</f>
        <v/>
      </c>
      <c r="T114" s="41" t="str">
        <f aca="false">IF(OR(S114="",R114="",R114=0),"",S114/R114)</f>
        <v/>
      </c>
      <c r="U114" s="43" t="str">
        <f aca="false">IF(S114="","",IF(S114&gt;0,"Win",IF(S114&lt;0,"Loss","BE")))</f>
        <v/>
      </c>
      <c r="V114" s="44" t="str">
        <f aca="false">IF(OR($H114="",R114=""),"",IFERROR(R114/(W114-S114),""))</f>
        <v/>
      </c>
      <c r="W114" s="45" t="str">
        <f aca="false">IF($H114="","",Settings!$B$3+SUM($S$2:S114))</f>
        <v/>
      </c>
      <c r="X114" s="45" t="str">
        <f aca="false">IF($H114="","",MAX(Settings!$B$3,MAX($W$2:W114)))</f>
        <v/>
      </c>
      <c r="Y114" s="44" t="str">
        <f aca="false">IF(OR($H114="",X114=""),"",IFERROR((W114-X114)/X114,""))</f>
        <v/>
      </c>
      <c r="Z114" s="35"/>
    </row>
    <row r="115" customFormat="false" ht="15" hidden="false" customHeight="true" outlineLevel="0" collapsed="false">
      <c r="A115" s="34" t="str">
        <f aca="false">IF($H115="","",ROW()-1)</f>
        <v/>
      </c>
      <c r="B115" s="35"/>
      <c r="C115" s="35"/>
      <c r="D115" s="34"/>
      <c r="E115" s="34"/>
      <c r="F115" s="35"/>
      <c r="G115" s="36"/>
      <c r="H115" s="37"/>
      <c r="I115" s="37"/>
      <c r="J115" s="37"/>
      <c r="K115" s="37"/>
      <c r="L115" s="38" t="str">
        <f aca="false">IFERROR(VLOOKUP($C115,Settings!$A$9:$C$28,2,FALSE()),"")</f>
        <v/>
      </c>
      <c r="M115" s="39" t="str">
        <f aca="false">IFERROR(VLOOKUP($C115,Settings!$A$9:$C$28,3,FALSE()),"")</f>
        <v/>
      </c>
      <c r="N115" s="40" t="str">
        <f aca="false">IF(OR($H115="",$I115=""),"",IFERROR(ABS(H115-I115)/L115,""))</f>
        <v/>
      </c>
      <c r="O115" s="40" t="str">
        <f aca="false">IF(OR($H115="",$J115=""),"",IFERROR(ABS(J115-H115)/L115,""))</f>
        <v/>
      </c>
      <c r="P115" s="41" t="str">
        <f aca="false">IF(OR(N115="",O115="",N115=0),"",O115/N115)</f>
        <v/>
      </c>
      <c r="Q115" s="40" t="str">
        <f aca="false">IF(OR($H115="",$K115=""),"",IFERROR(((K115-H115)/L115)*IF($D115="Buy",1,-1),""))</f>
        <v/>
      </c>
      <c r="R115" s="42" t="str">
        <f aca="false">IF(OR(N115="",$G115=""),"",IFERROR(N115*M115*G115,""))</f>
        <v/>
      </c>
      <c r="S115" s="42" t="str">
        <f aca="false">IF(OR(Q115="",$G115=""),"",IFERROR(Q115*M115*G115,""))</f>
        <v/>
      </c>
      <c r="T115" s="41" t="str">
        <f aca="false">IF(OR(S115="",R115="",R115=0),"",S115/R115)</f>
        <v/>
      </c>
      <c r="U115" s="43" t="str">
        <f aca="false">IF(S115="","",IF(S115&gt;0,"Win",IF(S115&lt;0,"Loss","BE")))</f>
        <v/>
      </c>
      <c r="V115" s="44" t="str">
        <f aca="false">IF(OR($H115="",R115=""),"",IFERROR(R115/(W115-S115),""))</f>
        <v/>
      </c>
      <c r="W115" s="45" t="str">
        <f aca="false">IF($H115="","",Settings!$B$3+SUM($S$2:S115))</f>
        <v/>
      </c>
      <c r="X115" s="45" t="str">
        <f aca="false">IF($H115="","",MAX(Settings!$B$3,MAX($W$2:W115)))</f>
        <v/>
      </c>
      <c r="Y115" s="44" t="str">
        <f aca="false">IF(OR($H115="",X115=""),"",IFERROR((W115-X115)/X115,""))</f>
        <v/>
      </c>
      <c r="Z115" s="35"/>
    </row>
    <row r="116" customFormat="false" ht="15" hidden="false" customHeight="true" outlineLevel="0" collapsed="false">
      <c r="A116" s="34" t="str">
        <f aca="false">IF($H116="","",ROW()-1)</f>
        <v/>
      </c>
      <c r="B116" s="35"/>
      <c r="C116" s="35"/>
      <c r="D116" s="34"/>
      <c r="E116" s="34"/>
      <c r="F116" s="35"/>
      <c r="G116" s="36"/>
      <c r="H116" s="37"/>
      <c r="I116" s="37"/>
      <c r="J116" s="37"/>
      <c r="K116" s="37"/>
      <c r="L116" s="38" t="str">
        <f aca="false">IFERROR(VLOOKUP($C116,Settings!$A$9:$C$28,2,FALSE()),"")</f>
        <v/>
      </c>
      <c r="M116" s="39" t="str">
        <f aca="false">IFERROR(VLOOKUP($C116,Settings!$A$9:$C$28,3,FALSE()),"")</f>
        <v/>
      </c>
      <c r="N116" s="40" t="str">
        <f aca="false">IF(OR($H116="",$I116=""),"",IFERROR(ABS(H116-I116)/L116,""))</f>
        <v/>
      </c>
      <c r="O116" s="40" t="str">
        <f aca="false">IF(OR($H116="",$J116=""),"",IFERROR(ABS(J116-H116)/L116,""))</f>
        <v/>
      </c>
      <c r="P116" s="41" t="str">
        <f aca="false">IF(OR(N116="",O116="",N116=0),"",O116/N116)</f>
        <v/>
      </c>
      <c r="Q116" s="40" t="str">
        <f aca="false">IF(OR($H116="",$K116=""),"",IFERROR(((K116-H116)/L116)*IF($D116="Buy",1,-1),""))</f>
        <v/>
      </c>
      <c r="R116" s="42" t="str">
        <f aca="false">IF(OR(N116="",$G116=""),"",IFERROR(N116*M116*G116,""))</f>
        <v/>
      </c>
      <c r="S116" s="42" t="str">
        <f aca="false">IF(OR(Q116="",$G116=""),"",IFERROR(Q116*M116*G116,""))</f>
        <v/>
      </c>
      <c r="T116" s="41" t="str">
        <f aca="false">IF(OR(S116="",R116="",R116=0),"",S116/R116)</f>
        <v/>
      </c>
      <c r="U116" s="43" t="str">
        <f aca="false">IF(S116="","",IF(S116&gt;0,"Win",IF(S116&lt;0,"Loss","BE")))</f>
        <v/>
      </c>
      <c r="V116" s="44" t="str">
        <f aca="false">IF(OR($H116="",R116=""),"",IFERROR(R116/(W116-S116),""))</f>
        <v/>
      </c>
      <c r="W116" s="45" t="str">
        <f aca="false">IF($H116="","",Settings!$B$3+SUM($S$2:S116))</f>
        <v/>
      </c>
      <c r="X116" s="45" t="str">
        <f aca="false">IF($H116="","",MAX(Settings!$B$3,MAX($W$2:W116)))</f>
        <v/>
      </c>
      <c r="Y116" s="44" t="str">
        <f aca="false">IF(OR($H116="",X116=""),"",IFERROR((W116-X116)/X116,""))</f>
        <v/>
      </c>
      <c r="Z116" s="35"/>
    </row>
    <row r="117" customFormat="false" ht="15" hidden="false" customHeight="true" outlineLevel="0" collapsed="false">
      <c r="A117" s="34" t="str">
        <f aca="false">IF($H117="","",ROW()-1)</f>
        <v/>
      </c>
      <c r="B117" s="35"/>
      <c r="C117" s="35"/>
      <c r="D117" s="34"/>
      <c r="E117" s="34"/>
      <c r="F117" s="35"/>
      <c r="G117" s="36"/>
      <c r="H117" s="37"/>
      <c r="I117" s="37"/>
      <c r="J117" s="37"/>
      <c r="K117" s="37"/>
      <c r="L117" s="38" t="str">
        <f aca="false">IFERROR(VLOOKUP($C117,Settings!$A$9:$C$28,2,FALSE()),"")</f>
        <v/>
      </c>
      <c r="M117" s="39" t="str">
        <f aca="false">IFERROR(VLOOKUP($C117,Settings!$A$9:$C$28,3,FALSE()),"")</f>
        <v/>
      </c>
      <c r="N117" s="40" t="str">
        <f aca="false">IF(OR($H117="",$I117=""),"",IFERROR(ABS(H117-I117)/L117,""))</f>
        <v/>
      </c>
      <c r="O117" s="40" t="str">
        <f aca="false">IF(OR($H117="",$J117=""),"",IFERROR(ABS(J117-H117)/L117,""))</f>
        <v/>
      </c>
      <c r="P117" s="41" t="str">
        <f aca="false">IF(OR(N117="",O117="",N117=0),"",O117/N117)</f>
        <v/>
      </c>
      <c r="Q117" s="40" t="str">
        <f aca="false">IF(OR($H117="",$K117=""),"",IFERROR(((K117-H117)/L117)*IF($D117="Buy",1,-1),""))</f>
        <v/>
      </c>
      <c r="R117" s="42" t="str">
        <f aca="false">IF(OR(N117="",$G117=""),"",IFERROR(N117*M117*G117,""))</f>
        <v/>
      </c>
      <c r="S117" s="42" t="str">
        <f aca="false">IF(OR(Q117="",$G117=""),"",IFERROR(Q117*M117*G117,""))</f>
        <v/>
      </c>
      <c r="T117" s="41" t="str">
        <f aca="false">IF(OR(S117="",R117="",R117=0),"",S117/R117)</f>
        <v/>
      </c>
      <c r="U117" s="43" t="str">
        <f aca="false">IF(S117="","",IF(S117&gt;0,"Win",IF(S117&lt;0,"Loss","BE")))</f>
        <v/>
      </c>
      <c r="V117" s="44" t="str">
        <f aca="false">IF(OR($H117="",R117=""),"",IFERROR(R117/(W117-S117),""))</f>
        <v/>
      </c>
      <c r="W117" s="45" t="str">
        <f aca="false">IF($H117="","",Settings!$B$3+SUM($S$2:S117))</f>
        <v/>
      </c>
      <c r="X117" s="45" t="str">
        <f aca="false">IF($H117="","",MAX(Settings!$B$3,MAX($W$2:W117)))</f>
        <v/>
      </c>
      <c r="Y117" s="44" t="str">
        <f aca="false">IF(OR($H117="",X117=""),"",IFERROR((W117-X117)/X117,""))</f>
        <v/>
      </c>
      <c r="Z117" s="35"/>
    </row>
    <row r="118" customFormat="false" ht="15" hidden="false" customHeight="true" outlineLevel="0" collapsed="false">
      <c r="A118" s="34" t="str">
        <f aca="false">IF($H118="","",ROW()-1)</f>
        <v/>
      </c>
      <c r="B118" s="35"/>
      <c r="C118" s="35"/>
      <c r="D118" s="34"/>
      <c r="E118" s="34"/>
      <c r="F118" s="35"/>
      <c r="G118" s="36"/>
      <c r="H118" s="37"/>
      <c r="I118" s="37"/>
      <c r="J118" s="37"/>
      <c r="K118" s="37"/>
      <c r="L118" s="38" t="str">
        <f aca="false">IFERROR(VLOOKUP($C118,Settings!$A$9:$C$28,2,FALSE()),"")</f>
        <v/>
      </c>
      <c r="M118" s="39" t="str">
        <f aca="false">IFERROR(VLOOKUP($C118,Settings!$A$9:$C$28,3,FALSE()),"")</f>
        <v/>
      </c>
      <c r="N118" s="40" t="str">
        <f aca="false">IF(OR($H118="",$I118=""),"",IFERROR(ABS(H118-I118)/L118,""))</f>
        <v/>
      </c>
      <c r="O118" s="40" t="str">
        <f aca="false">IF(OR($H118="",$J118=""),"",IFERROR(ABS(J118-H118)/L118,""))</f>
        <v/>
      </c>
      <c r="P118" s="41" t="str">
        <f aca="false">IF(OR(N118="",O118="",N118=0),"",O118/N118)</f>
        <v/>
      </c>
      <c r="Q118" s="40" t="str">
        <f aca="false">IF(OR($H118="",$K118=""),"",IFERROR(((K118-H118)/L118)*IF($D118="Buy",1,-1),""))</f>
        <v/>
      </c>
      <c r="R118" s="42" t="str">
        <f aca="false">IF(OR(N118="",$G118=""),"",IFERROR(N118*M118*G118,""))</f>
        <v/>
      </c>
      <c r="S118" s="42" t="str">
        <f aca="false">IF(OR(Q118="",$G118=""),"",IFERROR(Q118*M118*G118,""))</f>
        <v/>
      </c>
      <c r="T118" s="41" t="str">
        <f aca="false">IF(OR(S118="",R118="",R118=0),"",S118/R118)</f>
        <v/>
      </c>
      <c r="U118" s="43" t="str">
        <f aca="false">IF(S118="","",IF(S118&gt;0,"Win",IF(S118&lt;0,"Loss","BE")))</f>
        <v/>
      </c>
      <c r="V118" s="44" t="str">
        <f aca="false">IF(OR($H118="",R118=""),"",IFERROR(R118/(W118-S118),""))</f>
        <v/>
      </c>
      <c r="W118" s="45" t="str">
        <f aca="false">IF($H118="","",Settings!$B$3+SUM($S$2:S118))</f>
        <v/>
      </c>
      <c r="X118" s="45" t="str">
        <f aca="false">IF($H118="","",MAX(Settings!$B$3,MAX($W$2:W118)))</f>
        <v/>
      </c>
      <c r="Y118" s="44" t="str">
        <f aca="false">IF(OR($H118="",X118=""),"",IFERROR((W118-X118)/X118,""))</f>
        <v/>
      </c>
      <c r="Z118" s="35"/>
    </row>
    <row r="119" customFormat="false" ht="15" hidden="false" customHeight="true" outlineLevel="0" collapsed="false">
      <c r="A119" s="34" t="str">
        <f aca="false">IF($H119="","",ROW()-1)</f>
        <v/>
      </c>
      <c r="B119" s="35"/>
      <c r="C119" s="35"/>
      <c r="D119" s="34"/>
      <c r="E119" s="34"/>
      <c r="F119" s="35"/>
      <c r="G119" s="36"/>
      <c r="H119" s="37"/>
      <c r="I119" s="37"/>
      <c r="J119" s="37"/>
      <c r="K119" s="37"/>
      <c r="L119" s="38" t="str">
        <f aca="false">IFERROR(VLOOKUP($C119,Settings!$A$9:$C$28,2,FALSE()),"")</f>
        <v/>
      </c>
      <c r="M119" s="39" t="str">
        <f aca="false">IFERROR(VLOOKUP($C119,Settings!$A$9:$C$28,3,FALSE()),"")</f>
        <v/>
      </c>
      <c r="N119" s="40" t="str">
        <f aca="false">IF(OR($H119="",$I119=""),"",IFERROR(ABS(H119-I119)/L119,""))</f>
        <v/>
      </c>
      <c r="O119" s="40" t="str">
        <f aca="false">IF(OR($H119="",$J119=""),"",IFERROR(ABS(J119-H119)/L119,""))</f>
        <v/>
      </c>
      <c r="P119" s="41" t="str">
        <f aca="false">IF(OR(N119="",O119="",N119=0),"",O119/N119)</f>
        <v/>
      </c>
      <c r="Q119" s="40" t="str">
        <f aca="false">IF(OR($H119="",$K119=""),"",IFERROR(((K119-H119)/L119)*IF($D119="Buy",1,-1),""))</f>
        <v/>
      </c>
      <c r="R119" s="42" t="str">
        <f aca="false">IF(OR(N119="",$G119=""),"",IFERROR(N119*M119*G119,""))</f>
        <v/>
      </c>
      <c r="S119" s="42" t="str">
        <f aca="false">IF(OR(Q119="",$G119=""),"",IFERROR(Q119*M119*G119,""))</f>
        <v/>
      </c>
      <c r="T119" s="41" t="str">
        <f aca="false">IF(OR(S119="",R119="",R119=0),"",S119/R119)</f>
        <v/>
      </c>
      <c r="U119" s="43" t="str">
        <f aca="false">IF(S119="","",IF(S119&gt;0,"Win",IF(S119&lt;0,"Loss","BE")))</f>
        <v/>
      </c>
      <c r="V119" s="44" t="str">
        <f aca="false">IF(OR($H119="",R119=""),"",IFERROR(R119/(W119-S119),""))</f>
        <v/>
      </c>
      <c r="W119" s="45" t="str">
        <f aca="false">IF($H119="","",Settings!$B$3+SUM($S$2:S119))</f>
        <v/>
      </c>
      <c r="X119" s="45" t="str">
        <f aca="false">IF($H119="","",MAX(Settings!$B$3,MAX($W$2:W119)))</f>
        <v/>
      </c>
      <c r="Y119" s="44" t="str">
        <f aca="false">IF(OR($H119="",X119=""),"",IFERROR((W119-X119)/X119,""))</f>
        <v/>
      </c>
      <c r="Z119" s="35"/>
    </row>
    <row r="120" customFormat="false" ht="15" hidden="false" customHeight="true" outlineLevel="0" collapsed="false">
      <c r="A120" s="34" t="str">
        <f aca="false">IF($H120="","",ROW()-1)</f>
        <v/>
      </c>
      <c r="B120" s="35"/>
      <c r="C120" s="35"/>
      <c r="D120" s="34"/>
      <c r="E120" s="34"/>
      <c r="F120" s="35"/>
      <c r="G120" s="36"/>
      <c r="H120" s="37"/>
      <c r="I120" s="37"/>
      <c r="J120" s="37"/>
      <c r="K120" s="37"/>
      <c r="L120" s="38" t="str">
        <f aca="false">IFERROR(VLOOKUP($C120,Settings!$A$9:$C$28,2,FALSE()),"")</f>
        <v/>
      </c>
      <c r="M120" s="39" t="str">
        <f aca="false">IFERROR(VLOOKUP($C120,Settings!$A$9:$C$28,3,FALSE()),"")</f>
        <v/>
      </c>
      <c r="N120" s="40" t="str">
        <f aca="false">IF(OR($H120="",$I120=""),"",IFERROR(ABS(H120-I120)/L120,""))</f>
        <v/>
      </c>
      <c r="O120" s="40" t="str">
        <f aca="false">IF(OR($H120="",$J120=""),"",IFERROR(ABS(J120-H120)/L120,""))</f>
        <v/>
      </c>
      <c r="P120" s="41" t="str">
        <f aca="false">IF(OR(N120="",O120="",N120=0),"",O120/N120)</f>
        <v/>
      </c>
      <c r="Q120" s="40" t="str">
        <f aca="false">IF(OR($H120="",$K120=""),"",IFERROR(((K120-H120)/L120)*IF($D120="Buy",1,-1),""))</f>
        <v/>
      </c>
      <c r="R120" s="42" t="str">
        <f aca="false">IF(OR(N120="",$G120=""),"",IFERROR(N120*M120*G120,""))</f>
        <v/>
      </c>
      <c r="S120" s="42" t="str">
        <f aca="false">IF(OR(Q120="",$G120=""),"",IFERROR(Q120*M120*G120,""))</f>
        <v/>
      </c>
      <c r="T120" s="41" t="str">
        <f aca="false">IF(OR(S120="",R120="",R120=0),"",S120/R120)</f>
        <v/>
      </c>
      <c r="U120" s="43" t="str">
        <f aca="false">IF(S120="","",IF(S120&gt;0,"Win",IF(S120&lt;0,"Loss","BE")))</f>
        <v/>
      </c>
      <c r="V120" s="44" t="str">
        <f aca="false">IF(OR($H120="",R120=""),"",IFERROR(R120/(W120-S120),""))</f>
        <v/>
      </c>
      <c r="W120" s="45" t="str">
        <f aca="false">IF($H120="","",Settings!$B$3+SUM($S$2:S120))</f>
        <v/>
      </c>
      <c r="X120" s="45" t="str">
        <f aca="false">IF($H120="","",MAX(Settings!$B$3,MAX($W$2:W120)))</f>
        <v/>
      </c>
      <c r="Y120" s="44" t="str">
        <f aca="false">IF(OR($H120="",X120=""),"",IFERROR((W120-X120)/X120,""))</f>
        <v/>
      </c>
      <c r="Z120" s="35"/>
    </row>
    <row r="121" customFormat="false" ht="15" hidden="false" customHeight="true" outlineLevel="0" collapsed="false">
      <c r="A121" s="34" t="str">
        <f aca="false">IF($H121="","",ROW()-1)</f>
        <v/>
      </c>
      <c r="B121" s="35"/>
      <c r="C121" s="35"/>
      <c r="D121" s="34"/>
      <c r="E121" s="34"/>
      <c r="F121" s="35"/>
      <c r="G121" s="36"/>
      <c r="H121" s="37"/>
      <c r="I121" s="37"/>
      <c r="J121" s="37"/>
      <c r="K121" s="37"/>
      <c r="L121" s="38" t="str">
        <f aca="false">IFERROR(VLOOKUP($C121,Settings!$A$9:$C$28,2,FALSE()),"")</f>
        <v/>
      </c>
      <c r="M121" s="39" t="str">
        <f aca="false">IFERROR(VLOOKUP($C121,Settings!$A$9:$C$28,3,FALSE()),"")</f>
        <v/>
      </c>
      <c r="N121" s="40" t="str">
        <f aca="false">IF(OR($H121="",$I121=""),"",IFERROR(ABS(H121-I121)/L121,""))</f>
        <v/>
      </c>
      <c r="O121" s="40" t="str">
        <f aca="false">IF(OR($H121="",$J121=""),"",IFERROR(ABS(J121-H121)/L121,""))</f>
        <v/>
      </c>
      <c r="P121" s="41" t="str">
        <f aca="false">IF(OR(N121="",O121="",N121=0),"",O121/N121)</f>
        <v/>
      </c>
      <c r="Q121" s="40" t="str">
        <f aca="false">IF(OR($H121="",$K121=""),"",IFERROR(((K121-H121)/L121)*IF($D121="Buy",1,-1),""))</f>
        <v/>
      </c>
      <c r="R121" s="42" t="str">
        <f aca="false">IF(OR(N121="",$G121=""),"",IFERROR(N121*M121*G121,""))</f>
        <v/>
      </c>
      <c r="S121" s="42" t="str">
        <f aca="false">IF(OR(Q121="",$G121=""),"",IFERROR(Q121*M121*G121,""))</f>
        <v/>
      </c>
      <c r="T121" s="41" t="str">
        <f aca="false">IF(OR(S121="",R121="",R121=0),"",S121/R121)</f>
        <v/>
      </c>
      <c r="U121" s="43" t="str">
        <f aca="false">IF(S121="","",IF(S121&gt;0,"Win",IF(S121&lt;0,"Loss","BE")))</f>
        <v/>
      </c>
      <c r="V121" s="44" t="str">
        <f aca="false">IF(OR($H121="",R121=""),"",IFERROR(R121/(W121-S121),""))</f>
        <v/>
      </c>
      <c r="W121" s="45" t="str">
        <f aca="false">IF($H121="","",Settings!$B$3+SUM($S$2:S121))</f>
        <v/>
      </c>
      <c r="X121" s="45" t="str">
        <f aca="false">IF($H121="","",MAX(Settings!$B$3,MAX($W$2:W121)))</f>
        <v/>
      </c>
      <c r="Y121" s="44" t="str">
        <f aca="false">IF(OR($H121="",X121=""),"",IFERROR((W121-X121)/X121,""))</f>
        <v/>
      </c>
      <c r="Z121" s="35"/>
    </row>
    <row r="122" customFormat="false" ht="15" hidden="false" customHeight="true" outlineLevel="0" collapsed="false">
      <c r="A122" s="34" t="str">
        <f aca="false">IF($H122="","",ROW()-1)</f>
        <v/>
      </c>
      <c r="B122" s="35"/>
      <c r="C122" s="35"/>
      <c r="D122" s="34"/>
      <c r="E122" s="34"/>
      <c r="F122" s="35"/>
      <c r="G122" s="36"/>
      <c r="H122" s="37"/>
      <c r="I122" s="37"/>
      <c r="J122" s="37"/>
      <c r="K122" s="37"/>
      <c r="L122" s="38" t="str">
        <f aca="false">IFERROR(VLOOKUP($C122,Settings!$A$9:$C$28,2,FALSE()),"")</f>
        <v/>
      </c>
      <c r="M122" s="39" t="str">
        <f aca="false">IFERROR(VLOOKUP($C122,Settings!$A$9:$C$28,3,FALSE()),"")</f>
        <v/>
      </c>
      <c r="N122" s="40" t="str">
        <f aca="false">IF(OR($H122="",$I122=""),"",IFERROR(ABS(H122-I122)/L122,""))</f>
        <v/>
      </c>
      <c r="O122" s="40" t="str">
        <f aca="false">IF(OR($H122="",$J122=""),"",IFERROR(ABS(J122-H122)/L122,""))</f>
        <v/>
      </c>
      <c r="P122" s="41" t="str">
        <f aca="false">IF(OR(N122="",O122="",N122=0),"",O122/N122)</f>
        <v/>
      </c>
      <c r="Q122" s="40" t="str">
        <f aca="false">IF(OR($H122="",$K122=""),"",IFERROR(((K122-H122)/L122)*IF($D122="Buy",1,-1),""))</f>
        <v/>
      </c>
      <c r="R122" s="42" t="str">
        <f aca="false">IF(OR(N122="",$G122=""),"",IFERROR(N122*M122*G122,""))</f>
        <v/>
      </c>
      <c r="S122" s="42" t="str">
        <f aca="false">IF(OR(Q122="",$G122=""),"",IFERROR(Q122*M122*G122,""))</f>
        <v/>
      </c>
      <c r="T122" s="41" t="str">
        <f aca="false">IF(OR(S122="",R122="",R122=0),"",S122/R122)</f>
        <v/>
      </c>
      <c r="U122" s="43" t="str">
        <f aca="false">IF(S122="","",IF(S122&gt;0,"Win",IF(S122&lt;0,"Loss","BE")))</f>
        <v/>
      </c>
      <c r="V122" s="44" t="str">
        <f aca="false">IF(OR($H122="",R122=""),"",IFERROR(R122/(W122-S122),""))</f>
        <v/>
      </c>
      <c r="W122" s="45" t="str">
        <f aca="false">IF($H122="","",Settings!$B$3+SUM($S$2:S122))</f>
        <v/>
      </c>
      <c r="X122" s="45" t="str">
        <f aca="false">IF($H122="","",MAX(Settings!$B$3,MAX($W$2:W122)))</f>
        <v/>
      </c>
      <c r="Y122" s="44" t="str">
        <f aca="false">IF(OR($H122="",X122=""),"",IFERROR((W122-X122)/X122,""))</f>
        <v/>
      </c>
      <c r="Z122" s="35"/>
    </row>
    <row r="123" customFormat="false" ht="15" hidden="false" customHeight="true" outlineLevel="0" collapsed="false">
      <c r="A123" s="34" t="str">
        <f aca="false">IF($H123="","",ROW()-1)</f>
        <v/>
      </c>
      <c r="B123" s="35"/>
      <c r="C123" s="35"/>
      <c r="D123" s="34"/>
      <c r="E123" s="34"/>
      <c r="F123" s="35"/>
      <c r="G123" s="36"/>
      <c r="H123" s="37"/>
      <c r="I123" s="37"/>
      <c r="J123" s="37"/>
      <c r="K123" s="37"/>
      <c r="L123" s="38" t="str">
        <f aca="false">IFERROR(VLOOKUP($C123,Settings!$A$9:$C$28,2,FALSE()),"")</f>
        <v/>
      </c>
      <c r="M123" s="39" t="str">
        <f aca="false">IFERROR(VLOOKUP($C123,Settings!$A$9:$C$28,3,FALSE()),"")</f>
        <v/>
      </c>
      <c r="N123" s="40" t="str">
        <f aca="false">IF(OR($H123="",$I123=""),"",IFERROR(ABS(H123-I123)/L123,""))</f>
        <v/>
      </c>
      <c r="O123" s="40" t="str">
        <f aca="false">IF(OR($H123="",$J123=""),"",IFERROR(ABS(J123-H123)/L123,""))</f>
        <v/>
      </c>
      <c r="P123" s="41" t="str">
        <f aca="false">IF(OR(N123="",O123="",N123=0),"",O123/N123)</f>
        <v/>
      </c>
      <c r="Q123" s="40" t="str">
        <f aca="false">IF(OR($H123="",$K123=""),"",IFERROR(((K123-H123)/L123)*IF($D123="Buy",1,-1),""))</f>
        <v/>
      </c>
      <c r="R123" s="42" t="str">
        <f aca="false">IF(OR(N123="",$G123=""),"",IFERROR(N123*M123*G123,""))</f>
        <v/>
      </c>
      <c r="S123" s="42" t="str">
        <f aca="false">IF(OR(Q123="",$G123=""),"",IFERROR(Q123*M123*G123,""))</f>
        <v/>
      </c>
      <c r="T123" s="41" t="str">
        <f aca="false">IF(OR(S123="",R123="",R123=0),"",S123/R123)</f>
        <v/>
      </c>
      <c r="U123" s="43" t="str">
        <f aca="false">IF(S123="","",IF(S123&gt;0,"Win",IF(S123&lt;0,"Loss","BE")))</f>
        <v/>
      </c>
      <c r="V123" s="44" t="str">
        <f aca="false">IF(OR($H123="",R123=""),"",IFERROR(R123/(W123-S123),""))</f>
        <v/>
      </c>
      <c r="W123" s="45" t="str">
        <f aca="false">IF($H123="","",Settings!$B$3+SUM($S$2:S123))</f>
        <v/>
      </c>
      <c r="X123" s="45" t="str">
        <f aca="false">IF($H123="","",MAX(Settings!$B$3,MAX($W$2:W123)))</f>
        <v/>
      </c>
      <c r="Y123" s="44" t="str">
        <f aca="false">IF(OR($H123="",X123=""),"",IFERROR((W123-X123)/X123,""))</f>
        <v/>
      </c>
      <c r="Z123" s="35"/>
    </row>
    <row r="124" customFormat="false" ht="15" hidden="false" customHeight="true" outlineLevel="0" collapsed="false">
      <c r="A124" s="34" t="str">
        <f aca="false">IF($H124="","",ROW()-1)</f>
        <v/>
      </c>
      <c r="B124" s="35"/>
      <c r="C124" s="35"/>
      <c r="D124" s="34"/>
      <c r="E124" s="34"/>
      <c r="F124" s="35"/>
      <c r="G124" s="36"/>
      <c r="H124" s="37"/>
      <c r="I124" s="37"/>
      <c r="J124" s="37"/>
      <c r="K124" s="37"/>
      <c r="L124" s="38" t="str">
        <f aca="false">IFERROR(VLOOKUP($C124,Settings!$A$9:$C$28,2,FALSE()),"")</f>
        <v/>
      </c>
      <c r="M124" s="39" t="str">
        <f aca="false">IFERROR(VLOOKUP($C124,Settings!$A$9:$C$28,3,FALSE()),"")</f>
        <v/>
      </c>
      <c r="N124" s="40" t="str">
        <f aca="false">IF(OR($H124="",$I124=""),"",IFERROR(ABS(H124-I124)/L124,""))</f>
        <v/>
      </c>
      <c r="O124" s="40" t="str">
        <f aca="false">IF(OR($H124="",$J124=""),"",IFERROR(ABS(J124-H124)/L124,""))</f>
        <v/>
      </c>
      <c r="P124" s="41" t="str">
        <f aca="false">IF(OR(N124="",O124="",N124=0),"",O124/N124)</f>
        <v/>
      </c>
      <c r="Q124" s="40" t="str">
        <f aca="false">IF(OR($H124="",$K124=""),"",IFERROR(((K124-H124)/L124)*IF($D124="Buy",1,-1),""))</f>
        <v/>
      </c>
      <c r="R124" s="42" t="str">
        <f aca="false">IF(OR(N124="",$G124=""),"",IFERROR(N124*M124*G124,""))</f>
        <v/>
      </c>
      <c r="S124" s="42" t="str">
        <f aca="false">IF(OR(Q124="",$G124=""),"",IFERROR(Q124*M124*G124,""))</f>
        <v/>
      </c>
      <c r="T124" s="41" t="str">
        <f aca="false">IF(OR(S124="",R124="",R124=0),"",S124/R124)</f>
        <v/>
      </c>
      <c r="U124" s="43" t="str">
        <f aca="false">IF(S124="","",IF(S124&gt;0,"Win",IF(S124&lt;0,"Loss","BE")))</f>
        <v/>
      </c>
      <c r="V124" s="44" t="str">
        <f aca="false">IF(OR($H124="",R124=""),"",IFERROR(R124/(W124-S124),""))</f>
        <v/>
      </c>
      <c r="W124" s="45" t="str">
        <f aca="false">IF($H124="","",Settings!$B$3+SUM($S$2:S124))</f>
        <v/>
      </c>
      <c r="X124" s="45" t="str">
        <f aca="false">IF($H124="","",MAX(Settings!$B$3,MAX($W$2:W124)))</f>
        <v/>
      </c>
      <c r="Y124" s="44" t="str">
        <f aca="false">IF(OR($H124="",X124=""),"",IFERROR((W124-X124)/X124,""))</f>
        <v/>
      </c>
      <c r="Z124" s="35"/>
    </row>
    <row r="125" customFormat="false" ht="15" hidden="false" customHeight="true" outlineLevel="0" collapsed="false">
      <c r="A125" s="34" t="str">
        <f aca="false">IF($H125="","",ROW()-1)</f>
        <v/>
      </c>
      <c r="B125" s="35"/>
      <c r="C125" s="35"/>
      <c r="D125" s="34"/>
      <c r="E125" s="34"/>
      <c r="F125" s="35"/>
      <c r="G125" s="36"/>
      <c r="H125" s="37"/>
      <c r="I125" s="37"/>
      <c r="J125" s="37"/>
      <c r="K125" s="37"/>
      <c r="L125" s="38" t="str">
        <f aca="false">IFERROR(VLOOKUP($C125,Settings!$A$9:$C$28,2,FALSE()),"")</f>
        <v/>
      </c>
      <c r="M125" s="39" t="str">
        <f aca="false">IFERROR(VLOOKUP($C125,Settings!$A$9:$C$28,3,FALSE()),"")</f>
        <v/>
      </c>
      <c r="N125" s="40" t="str">
        <f aca="false">IF(OR($H125="",$I125=""),"",IFERROR(ABS(H125-I125)/L125,""))</f>
        <v/>
      </c>
      <c r="O125" s="40" t="str">
        <f aca="false">IF(OR($H125="",$J125=""),"",IFERROR(ABS(J125-H125)/L125,""))</f>
        <v/>
      </c>
      <c r="P125" s="41" t="str">
        <f aca="false">IF(OR(N125="",O125="",N125=0),"",O125/N125)</f>
        <v/>
      </c>
      <c r="Q125" s="40" t="str">
        <f aca="false">IF(OR($H125="",$K125=""),"",IFERROR(((K125-H125)/L125)*IF($D125="Buy",1,-1),""))</f>
        <v/>
      </c>
      <c r="R125" s="42" t="str">
        <f aca="false">IF(OR(N125="",$G125=""),"",IFERROR(N125*M125*G125,""))</f>
        <v/>
      </c>
      <c r="S125" s="42" t="str">
        <f aca="false">IF(OR(Q125="",$G125=""),"",IFERROR(Q125*M125*G125,""))</f>
        <v/>
      </c>
      <c r="T125" s="41" t="str">
        <f aca="false">IF(OR(S125="",R125="",R125=0),"",S125/R125)</f>
        <v/>
      </c>
      <c r="U125" s="43" t="str">
        <f aca="false">IF(S125="","",IF(S125&gt;0,"Win",IF(S125&lt;0,"Loss","BE")))</f>
        <v/>
      </c>
      <c r="V125" s="44" t="str">
        <f aca="false">IF(OR($H125="",R125=""),"",IFERROR(R125/(W125-S125),""))</f>
        <v/>
      </c>
      <c r="W125" s="45" t="str">
        <f aca="false">IF($H125="","",Settings!$B$3+SUM($S$2:S125))</f>
        <v/>
      </c>
      <c r="X125" s="45" t="str">
        <f aca="false">IF($H125="","",MAX(Settings!$B$3,MAX($W$2:W125)))</f>
        <v/>
      </c>
      <c r="Y125" s="44" t="str">
        <f aca="false">IF(OR($H125="",X125=""),"",IFERROR((W125-X125)/X125,""))</f>
        <v/>
      </c>
      <c r="Z125" s="35"/>
    </row>
    <row r="126" customFormat="false" ht="15" hidden="false" customHeight="true" outlineLevel="0" collapsed="false">
      <c r="A126" s="34" t="str">
        <f aca="false">IF($H126="","",ROW()-1)</f>
        <v/>
      </c>
      <c r="B126" s="35"/>
      <c r="C126" s="35"/>
      <c r="D126" s="34"/>
      <c r="E126" s="34"/>
      <c r="F126" s="35"/>
      <c r="G126" s="36"/>
      <c r="H126" s="37"/>
      <c r="I126" s="37"/>
      <c r="J126" s="37"/>
      <c r="K126" s="37"/>
      <c r="L126" s="38" t="str">
        <f aca="false">IFERROR(VLOOKUP($C126,Settings!$A$9:$C$28,2,FALSE()),"")</f>
        <v/>
      </c>
      <c r="M126" s="39" t="str">
        <f aca="false">IFERROR(VLOOKUP($C126,Settings!$A$9:$C$28,3,FALSE()),"")</f>
        <v/>
      </c>
      <c r="N126" s="40" t="str">
        <f aca="false">IF(OR($H126="",$I126=""),"",IFERROR(ABS(H126-I126)/L126,""))</f>
        <v/>
      </c>
      <c r="O126" s="40" t="str">
        <f aca="false">IF(OR($H126="",$J126=""),"",IFERROR(ABS(J126-H126)/L126,""))</f>
        <v/>
      </c>
      <c r="P126" s="41" t="str">
        <f aca="false">IF(OR(N126="",O126="",N126=0),"",O126/N126)</f>
        <v/>
      </c>
      <c r="Q126" s="40" t="str">
        <f aca="false">IF(OR($H126="",$K126=""),"",IFERROR(((K126-H126)/L126)*IF($D126="Buy",1,-1),""))</f>
        <v/>
      </c>
      <c r="R126" s="42" t="str">
        <f aca="false">IF(OR(N126="",$G126=""),"",IFERROR(N126*M126*G126,""))</f>
        <v/>
      </c>
      <c r="S126" s="42" t="str">
        <f aca="false">IF(OR(Q126="",$G126=""),"",IFERROR(Q126*M126*G126,""))</f>
        <v/>
      </c>
      <c r="T126" s="41" t="str">
        <f aca="false">IF(OR(S126="",R126="",R126=0),"",S126/R126)</f>
        <v/>
      </c>
      <c r="U126" s="43" t="str">
        <f aca="false">IF(S126="","",IF(S126&gt;0,"Win",IF(S126&lt;0,"Loss","BE")))</f>
        <v/>
      </c>
      <c r="V126" s="44" t="str">
        <f aca="false">IF(OR($H126="",R126=""),"",IFERROR(R126/(W126-S126),""))</f>
        <v/>
      </c>
      <c r="W126" s="45" t="str">
        <f aca="false">IF($H126="","",Settings!$B$3+SUM($S$2:S126))</f>
        <v/>
      </c>
      <c r="X126" s="45" t="str">
        <f aca="false">IF($H126="","",MAX(Settings!$B$3,MAX($W$2:W126)))</f>
        <v/>
      </c>
      <c r="Y126" s="44" t="str">
        <f aca="false">IF(OR($H126="",X126=""),"",IFERROR((W126-X126)/X126,""))</f>
        <v/>
      </c>
      <c r="Z126" s="35"/>
    </row>
    <row r="127" customFormat="false" ht="15" hidden="false" customHeight="true" outlineLevel="0" collapsed="false">
      <c r="A127" s="34" t="str">
        <f aca="false">IF($H127="","",ROW()-1)</f>
        <v/>
      </c>
      <c r="B127" s="35"/>
      <c r="C127" s="35"/>
      <c r="D127" s="34"/>
      <c r="E127" s="34"/>
      <c r="F127" s="35"/>
      <c r="G127" s="36"/>
      <c r="H127" s="37"/>
      <c r="I127" s="37"/>
      <c r="J127" s="37"/>
      <c r="K127" s="37"/>
      <c r="L127" s="38" t="str">
        <f aca="false">IFERROR(VLOOKUP($C127,Settings!$A$9:$C$28,2,FALSE()),"")</f>
        <v/>
      </c>
      <c r="M127" s="39" t="str">
        <f aca="false">IFERROR(VLOOKUP($C127,Settings!$A$9:$C$28,3,FALSE()),"")</f>
        <v/>
      </c>
      <c r="N127" s="40" t="str">
        <f aca="false">IF(OR($H127="",$I127=""),"",IFERROR(ABS(H127-I127)/L127,""))</f>
        <v/>
      </c>
      <c r="O127" s="40" t="str">
        <f aca="false">IF(OR($H127="",$J127=""),"",IFERROR(ABS(J127-H127)/L127,""))</f>
        <v/>
      </c>
      <c r="P127" s="41" t="str">
        <f aca="false">IF(OR(N127="",O127="",N127=0),"",O127/N127)</f>
        <v/>
      </c>
      <c r="Q127" s="40" t="str">
        <f aca="false">IF(OR($H127="",$K127=""),"",IFERROR(((K127-H127)/L127)*IF($D127="Buy",1,-1),""))</f>
        <v/>
      </c>
      <c r="R127" s="42" t="str">
        <f aca="false">IF(OR(N127="",$G127=""),"",IFERROR(N127*M127*G127,""))</f>
        <v/>
      </c>
      <c r="S127" s="42" t="str">
        <f aca="false">IF(OR(Q127="",$G127=""),"",IFERROR(Q127*M127*G127,""))</f>
        <v/>
      </c>
      <c r="T127" s="41" t="str">
        <f aca="false">IF(OR(S127="",R127="",R127=0),"",S127/R127)</f>
        <v/>
      </c>
      <c r="U127" s="43" t="str">
        <f aca="false">IF(S127="","",IF(S127&gt;0,"Win",IF(S127&lt;0,"Loss","BE")))</f>
        <v/>
      </c>
      <c r="V127" s="44" t="str">
        <f aca="false">IF(OR($H127="",R127=""),"",IFERROR(R127/(W127-S127),""))</f>
        <v/>
      </c>
      <c r="W127" s="45" t="str">
        <f aca="false">IF($H127="","",Settings!$B$3+SUM($S$2:S127))</f>
        <v/>
      </c>
      <c r="X127" s="45" t="str">
        <f aca="false">IF($H127="","",MAX(Settings!$B$3,MAX($W$2:W127)))</f>
        <v/>
      </c>
      <c r="Y127" s="44" t="str">
        <f aca="false">IF(OR($H127="",X127=""),"",IFERROR((W127-X127)/X127,""))</f>
        <v/>
      </c>
      <c r="Z127" s="35"/>
    </row>
    <row r="128" customFormat="false" ht="15" hidden="false" customHeight="true" outlineLevel="0" collapsed="false">
      <c r="A128" s="34" t="str">
        <f aca="false">IF($H128="","",ROW()-1)</f>
        <v/>
      </c>
      <c r="B128" s="35"/>
      <c r="C128" s="35"/>
      <c r="D128" s="34"/>
      <c r="E128" s="34"/>
      <c r="F128" s="35"/>
      <c r="G128" s="36"/>
      <c r="H128" s="37"/>
      <c r="I128" s="37"/>
      <c r="J128" s="37"/>
      <c r="K128" s="37"/>
      <c r="L128" s="38" t="str">
        <f aca="false">IFERROR(VLOOKUP($C128,Settings!$A$9:$C$28,2,FALSE()),"")</f>
        <v/>
      </c>
      <c r="M128" s="39" t="str">
        <f aca="false">IFERROR(VLOOKUP($C128,Settings!$A$9:$C$28,3,FALSE()),"")</f>
        <v/>
      </c>
      <c r="N128" s="40" t="str">
        <f aca="false">IF(OR($H128="",$I128=""),"",IFERROR(ABS(H128-I128)/L128,""))</f>
        <v/>
      </c>
      <c r="O128" s="40" t="str">
        <f aca="false">IF(OR($H128="",$J128=""),"",IFERROR(ABS(J128-H128)/L128,""))</f>
        <v/>
      </c>
      <c r="P128" s="41" t="str">
        <f aca="false">IF(OR(N128="",O128="",N128=0),"",O128/N128)</f>
        <v/>
      </c>
      <c r="Q128" s="40" t="str">
        <f aca="false">IF(OR($H128="",$K128=""),"",IFERROR(((K128-H128)/L128)*IF($D128="Buy",1,-1),""))</f>
        <v/>
      </c>
      <c r="R128" s="42" t="str">
        <f aca="false">IF(OR(N128="",$G128=""),"",IFERROR(N128*M128*G128,""))</f>
        <v/>
      </c>
      <c r="S128" s="42" t="str">
        <f aca="false">IF(OR(Q128="",$G128=""),"",IFERROR(Q128*M128*G128,""))</f>
        <v/>
      </c>
      <c r="T128" s="41" t="str">
        <f aca="false">IF(OR(S128="",R128="",R128=0),"",S128/R128)</f>
        <v/>
      </c>
      <c r="U128" s="43" t="str">
        <f aca="false">IF(S128="","",IF(S128&gt;0,"Win",IF(S128&lt;0,"Loss","BE")))</f>
        <v/>
      </c>
      <c r="V128" s="44" t="str">
        <f aca="false">IF(OR($H128="",R128=""),"",IFERROR(R128/(W128-S128),""))</f>
        <v/>
      </c>
      <c r="W128" s="45" t="str">
        <f aca="false">IF($H128="","",Settings!$B$3+SUM($S$2:S128))</f>
        <v/>
      </c>
      <c r="X128" s="45" t="str">
        <f aca="false">IF($H128="","",MAX(Settings!$B$3,MAX($W$2:W128)))</f>
        <v/>
      </c>
      <c r="Y128" s="44" t="str">
        <f aca="false">IF(OR($H128="",X128=""),"",IFERROR((W128-X128)/X128,""))</f>
        <v/>
      </c>
      <c r="Z128" s="35"/>
    </row>
    <row r="129" customFormat="false" ht="15" hidden="false" customHeight="true" outlineLevel="0" collapsed="false">
      <c r="A129" s="34" t="str">
        <f aca="false">IF($H129="","",ROW()-1)</f>
        <v/>
      </c>
      <c r="B129" s="35"/>
      <c r="C129" s="35"/>
      <c r="D129" s="34"/>
      <c r="E129" s="34"/>
      <c r="F129" s="35"/>
      <c r="G129" s="36"/>
      <c r="H129" s="37"/>
      <c r="I129" s="37"/>
      <c r="J129" s="37"/>
      <c r="K129" s="37"/>
      <c r="L129" s="38" t="str">
        <f aca="false">IFERROR(VLOOKUP($C129,Settings!$A$9:$C$28,2,FALSE()),"")</f>
        <v/>
      </c>
      <c r="M129" s="39" t="str">
        <f aca="false">IFERROR(VLOOKUP($C129,Settings!$A$9:$C$28,3,FALSE()),"")</f>
        <v/>
      </c>
      <c r="N129" s="40" t="str">
        <f aca="false">IF(OR($H129="",$I129=""),"",IFERROR(ABS(H129-I129)/L129,""))</f>
        <v/>
      </c>
      <c r="O129" s="40" t="str">
        <f aca="false">IF(OR($H129="",$J129=""),"",IFERROR(ABS(J129-H129)/L129,""))</f>
        <v/>
      </c>
      <c r="P129" s="41" t="str">
        <f aca="false">IF(OR(N129="",O129="",N129=0),"",O129/N129)</f>
        <v/>
      </c>
      <c r="Q129" s="40" t="str">
        <f aca="false">IF(OR($H129="",$K129=""),"",IFERROR(((K129-H129)/L129)*IF($D129="Buy",1,-1),""))</f>
        <v/>
      </c>
      <c r="R129" s="42" t="str">
        <f aca="false">IF(OR(N129="",$G129=""),"",IFERROR(N129*M129*G129,""))</f>
        <v/>
      </c>
      <c r="S129" s="42" t="str">
        <f aca="false">IF(OR(Q129="",$G129=""),"",IFERROR(Q129*M129*G129,""))</f>
        <v/>
      </c>
      <c r="T129" s="41" t="str">
        <f aca="false">IF(OR(S129="",R129="",R129=0),"",S129/R129)</f>
        <v/>
      </c>
      <c r="U129" s="43" t="str">
        <f aca="false">IF(S129="","",IF(S129&gt;0,"Win",IF(S129&lt;0,"Loss","BE")))</f>
        <v/>
      </c>
      <c r="V129" s="44" t="str">
        <f aca="false">IF(OR($H129="",R129=""),"",IFERROR(R129/(W129-S129),""))</f>
        <v/>
      </c>
      <c r="W129" s="45" t="str">
        <f aca="false">IF($H129="","",Settings!$B$3+SUM($S$2:S129))</f>
        <v/>
      </c>
      <c r="X129" s="45" t="str">
        <f aca="false">IF($H129="","",MAX(Settings!$B$3,MAX($W$2:W129)))</f>
        <v/>
      </c>
      <c r="Y129" s="44" t="str">
        <f aca="false">IF(OR($H129="",X129=""),"",IFERROR((W129-X129)/X129,""))</f>
        <v/>
      </c>
      <c r="Z129" s="35"/>
    </row>
    <row r="130" customFormat="false" ht="15" hidden="false" customHeight="true" outlineLevel="0" collapsed="false">
      <c r="A130" s="34" t="str">
        <f aca="false">IF($H130="","",ROW()-1)</f>
        <v/>
      </c>
      <c r="B130" s="35"/>
      <c r="C130" s="35"/>
      <c r="D130" s="34"/>
      <c r="E130" s="34"/>
      <c r="F130" s="35"/>
      <c r="G130" s="36"/>
      <c r="H130" s="37"/>
      <c r="I130" s="37"/>
      <c r="J130" s="37"/>
      <c r="K130" s="37"/>
      <c r="L130" s="38" t="str">
        <f aca="false">IFERROR(VLOOKUP($C130,Settings!$A$9:$C$28,2,FALSE()),"")</f>
        <v/>
      </c>
      <c r="M130" s="39" t="str">
        <f aca="false">IFERROR(VLOOKUP($C130,Settings!$A$9:$C$28,3,FALSE()),"")</f>
        <v/>
      </c>
      <c r="N130" s="40" t="str">
        <f aca="false">IF(OR($H130="",$I130=""),"",IFERROR(ABS(H130-I130)/L130,""))</f>
        <v/>
      </c>
      <c r="O130" s="40" t="str">
        <f aca="false">IF(OR($H130="",$J130=""),"",IFERROR(ABS(J130-H130)/L130,""))</f>
        <v/>
      </c>
      <c r="P130" s="41" t="str">
        <f aca="false">IF(OR(N130="",O130="",N130=0),"",O130/N130)</f>
        <v/>
      </c>
      <c r="Q130" s="40" t="str">
        <f aca="false">IF(OR($H130="",$K130=""),"",IFERROR(((K130-H130)/L130)*IF($D130="Buy",1,-1),""))</f>
        <v/>
      </c>
      <c r="R130" s="42" t="str">
        <f aca="false">IF(OR(N130="",$G130=""),"",IFERROR(N130*M130*G130,""))</f>
        <v/>
      </c>
      <c r="S130" s="42" t="str">
        <f aca="false">IF(OR(Q130="",$G130=""),"",IFERROR(Q130*M130*G130,""))</f>
        <v/>
      </c>
      <c r="T130" s="41" t="str">
        <f aca="false">IF(OR(S130="",R130="",R130=0),"",S130/R130)</f>
        <v/>
      </c>
      <c r="U130" s="43" t="str">
        <f aca="false">IF(S130="","",IF(S130&gt;0,"Win",IF(S130&lt;0,"Loss","BE")))</f>
        <v/>
      </c>
      <c r="V130" s="44" t="str">
        <f aca="false">IF(OR($H130="",R130=""),"",IFERROR(R130/(W130-S130),""))</f>
        <v/>
      </c>
      <c r="W130" s="45" t="str">
        <f aca="false">IF($H130="","",Settings!$B$3+SUM($S$2:S130))</f>
        <v/>
      </c>
      <c r="X130" s="45" t="str">
        <f aca="false">IF($H130="","",MAX(Settings!$B$3,MAX($W$2:W130)))</f>
        <v/>
      </c>
      <c r="Y130" s="44" t="str">
        <f aca="false">IF(OR($H130="",X130=""),"",IFERROR((W130-X130)/X130,""))</f>
        <v/>
      </c>
      <c r="Z130" s="35"/>
    </row>
    <row r="131" customFormat="false" ht="15" hidden="false" customHeight="true" outlineLevel="0" collapsed="false">
      <c r="A131" s="34" t="str">
        <f aca="false">IF($H131="","",ROW()-1)</f>
        <v/>
      </c>
      <c r="B131" s="35"/>
      <c r="C131" s="35"/>
      <c r="D131" s="34"/>
      <c r="E131" s="34"/>
      <c r="F131" s="35"/>
      <c r="G131" s="36"/>
      <c r="H131" s="37"/>
      <c r="I131" s="37"/>
      <c r="J131" s="37"/>
      <c r="K131" s="37"/>
      <c r="L131" s="38" t="str">
        <f aca="false">IFERROR(VLOOKUP($C131,Settings!$A$9:$C$28,2,FALSE()),"")</f>
        <v/>
      </c>
      <c r="M131" s="39" t="str">
        <f aca="false">IFERROR(VLOOKUP($C131,Settings!$A$9:$C$28,3,FALSE()),"")</f>
        <v/>
      </c>
      <c r="N131" s="40" t="str">
        <f aca="false">IF(OR($H131="",$I131=""),"",IFERROR(ABS(H131-I131)/L131,""))</f>
        <v/>
      </c>
      <c r="O131" s="40" t="str">
        <f aca="false">IF(OR($H131="",$J131=""),"",IFERROR(ABS(J131-H131)/L131,""))</f>
        <v/>
      </c>
      <c r="P131" s="41" t="str">
        <f aca="false">IF(OR(N131="",O131="",N131=0),"",O131/N131)</f>
        <v/>
      </c>
      <c r="Q131" s="40" t="str">
        <f aca="false">IF(OR($H131="",$K131=""),"",IFERROR(((K131-H131)/L131)*IF($D131="Buy",1,-1),""))</f>
        <v/>
      </c>
      <c r="R131" s="42" t="str">
        <f aca="false">IF(OR(N131="",$G131=""),"",IFERROR(N131*M131*G131,""))</f>
        <v/>
      </c>
      <c r="S131" s="42" t="str">
        <f aca="false">IF(OR(Q131="",$G131=""),"",IFERROR(Q131*M131*G131,""))</f>
        <v/>
      </c>
      <c r="T131" s="41" t="str">
        <f aca="false">IF(OR(S131="",R131="",R131=0),"",S131/R131)</f>
        <v/>
      </c>
      <c r="U131" s="43" t="str">
        <f aca="false">IF(S131="","",IF(S131&gt;0,"Win",IF(S131&lt;0,"Loss","BE")))</f>
        <v/>
      </c>
      <c r="V131" s="44" t="str">
        <f aca="false">IF(OR($H131="",R131=""),"",IFERROR(R131/(W131-S131),""))</f>
        <v/>
      </c>
      <c r="W131" s="45" t="str">
        <f aca="false">IF($H131="","",Settings!$B$3+SUM($S$2:S131))</f>
        <v/>
      </c>
      <c r="X131" s="45" t="str">
        <f aca="false">IF($H131="","",MAX(Settings!$B$3,MAX($W$2:W131)))</f>
        <v/>
      </c>
      <c r="Y131" s="44" t="str">
        <f aca="false">IF(OR($H131="",X131=""),"",IFERROR((W131-X131)/X131,""))</f>
        <v/>
      </c>
      <c r="Z131" s="35"/>
    </row>
    <row r="132" customFormat="false" ht="15" hidden="false" customHeight="true" outlineLevel="0" collapsed="false">
      <c r="A132" s="34" t="str">
        <f aca="false">IF($H132="","",ROW()-1)</f>
        <v/>
      </c>
      <c r="B132" s="35"/>
      <c r="C132" s="35"/>
      <c r="D132" s="34"/>
      <c r="E132" s="34"/>
      <c r="F132" s="35"/>
      <c r="G132" s="36"/>
      <c r="H132" s="37"/>
      <c r="I132" s="37"/>
      <c r="J132" s="37"/>
      <c r="K132" s="37"/>
      <c r="L132" s="38" t="str">
        <f aca="false">IFERROR(VLOOKUP($C132,Settings!$A$9:$C$28,2,FALSE()),"")</f>
        <v/>
      </c>
      <c r="M132" s="39" t="str">
        <f aca="false">IFERROR(VLOOKUP($C132,Settings!$A$9:$C$28,3,FALSE()),"")</f>
        <v/>
      </c>
      <c r="N132" s="40" t="str">
        <f aca="false">IF(OR($H132="",$I132=""),"",IFERROR(ABS(H132-I132)/L132,""))</f>
        <v/>
      </c>
      <c r="O132" s="40" t="str">
        <f aca="false">IF(OR($H132="",$J132=""),"",IFERROR(ABS(J132-H132)/L132,""))</f>
        <v/>
      </c>
      <c r="P132" s="41" t="str">
        <f aca="false">IF(OR(N132="",O132="",N132=0),"",O132/N132)</f>
        <v/>
      </c>
      <c r="Q132" s="40" t="str">
        <f aca="false">IF(OR($H132="",$K132=""),"",IFERROR(((K132-H132)/L132)*IF($D132="Buy",1,-1),""))</f>
        <v/>
      </c>
      <c r="R132" s="42" t="str">
        <f aca="false">IF(OR(N132="",$G132=""),"",IFERROR(N132*M132*G132,""))</f>
        <v/>
      </c>
      <c r="S132" s="42" t="str">
        <f aca="false">IF(OR(Q132="",$G132=""),"",IFERROR(Q132*M132*G132,""))</f>
        <v/>
      </c>
      <c r="T132" s="41" t="str">
        <f aca="false">IF(OR(S132="",R132="",R132=0),"",S132/R132)</f>
        <v/>
      </c>
      <c r="U132" s="43" t="str">
        <f aca="false">IF(S132="","",IF(S132&gt;0,"Win",IF(S132&lt;0,"Loss","BE")))</f>
        <v/>
      </c>
      <c r="V132" s="44" t="str">
        <f aca="false">IF(OR($H132="",R132=""),"",IFERROR(R132/(W132-S132),""))</f>
        <v/>
      </c>
      <c r="W132" s="45" t="str">
        <f aca="false">IF($H132="","",Settings!$B$3+SUM($S$2:S132))</f>
        <v/>
      </c>
      <c r="X132" s="45" t="str">
        <f aca="false">IF($H132="","",MAX(Settings!$B$3,MAX($W$2:W132)))</f>
        <v/>
      </c>
      <c r="Y132" s="44" t="str">
        <f aca="false">IF(OR($H132="",X132=""),"",IFERROR((W132-X132)/X132,""))</f>
        <v/>
      </c>
      <c r="Z132" s="35"/>
    </row>
    <row r="133" customFormat="false" ht="15" hidden="false" customHeight="true" outlineLevel="0" collapsed="false">
      <c r="A133" s="34" t="str">
        <f aca="false">IF($H133="","",ROW()-1)</f>
        <v/>
      </c>
      <c r="B133" s="35"/>
      <c r="C133" s="35"/>
      <c r="D133" s="34"/>
      <c r="E133" s="34"/>
      <c r="F133" s="35"/>
      <c r="G133" s="36"/>
      <c r="H133" s="37"/>
      <c r="I133" s="37"/>
      <c r="J133" s="37"/>
      <c r="K133" s="37"/>
      <c r="L133" s="38" t="str">
        <f aca="false">IFERROR(VLOOKUP($C133,Settings!$A$9:$C$28,2,FALSE()),"")</f>
        <v/>
      </c>
      <c r="M133" s="39" t="str">
        <f aca="false">IFERROR(VLOOKUP($C133,Settings!$A$9:$C$28,3,FALSE()),"")</f>
        <v/>
      </c>
      <c r="N133" s="40" t="str">
        <f aca="false">IF(OR($H133="",$I133=""),"",IFERROR(ABS(H133-I133)/L133,""))</f>
        <v/>
      </c>
      <c r="O133" s="40" t="str">
        <f aca="false">IF(OR($H133="",$J133=""),"",IFERROR(ABS(J133-H133)/L133,""))</f>
        <v/>
      </c>
      <c r="P133" s="41" t="str">
        <f aca="false">IF(OR(N133="",O133="",N133=0),"",O133/N133)</f>
        <v/>
      </c>
      <c r="Q133" s="40" t="str">
        <f aca="false">IF(OR($H133="",$K133=""),"",IFERROR(((K133-H133)/L133)*IF($D133="Buy",1,-1),""))</f>
        <v/>
      </c>
      <c r="R133" s="42" t="str">
        <f aca="false">IF(OR(N133="",$G133=""),"",IFERROR(N133*M133*G133,""))</f>
        <v/>
      </c>
      <c r="S133" s="42" t="str">
        <f aca="false">IF(OR(Q133="",$G133=""),"",IFERROR(Q133*M133*G133,""))</f>
        <v/>
      </c>
      <c r="T133" s="41" t="str">
        <f aca="false">IF(OR(S133="",R133="",R133=0),"",S133/R133)</f>
        <v/>
      </c>
      <c r="U133" s="43" t="str">
        <f aca="false">IF(S133="","",IF(S133&gt;0,"Win",IF(S133&lt;0,"Loss","BE")))</f>
        <v/>
      </c>
      <c r="V133" s="44" t="str">
        <f aca="false">IF(OR($H133="",R133=""),"",IFERROR(R133/(W133-S133),""))</f>
        <v/>
      </c>
      <c r="W133" s="45" t="str">
        <f aca="false">IF($H133="","",Settings!$B$3+SUM($S$2:S133))</f>
        <v/>
      </c>
      <c r="X133" s="45" t="str">
        <f aca="false">IF($H133="","",MAX(Settings!$B$3,MAX($W$2:W133)))</f>
        <v/>
      </c>
      <c r="Y133" s="44" t="str">
        <f aca="false">IF(OR($H133="",X133=""),"",IFERROR((W133-X133)/X133,""))</f>
        <v/>
      </c>
      <c r="Z133" s="35"/>
    </row>
    <row r="134" customFormat="false" ht="15" hidden="false" customHeight="true" outlineLevel="0" collapsed="false">
      <c r="A134" s="34" t="str">
        <f aca="false">IF($H134="","",ROW()-1)</f>
        <v/>
      </c>
      <c r="B134" s="35"/>
      <c r="C134" s="35"/>
      <c r="D134" s="34"/>
      <c r="E134" s="34"/>
      <c r="F134" s="35"/>
      <c r="G134" s="36"/>
      <c r="H134" s="37"/>
      <c r="I134" s="37"/>
      <c r="J134" s="37"/>
      <c r="K134" s="37"/>
      <c r="L134" s="38" t="str">
        <f aca="false">IFERROR(VLOOKUP($C134,Settings!$A$9:$C$28,2,FALSE()),"")</f>
        <v/>
      </c>
      <c r="M134" s="39" t="str">
        <f aca="false">IFERROR(VLOOKUP($C134,Settings!$A$9:$C$28,3,FALSE()),"")</f>
        <v/>
      </c>
      <c r="N134" s="40" t="str">
        <f aca="false">IF(OR($H134="",$I134=""),"",IFERROR(ABS(H134-I134)/L134,""))</f>
        <v/>
      </c>
      <c r="O134" s="40" t="str">
        <f aca="false">IF(OR($H134="",$J134=""),"",IFERROR(ABS(J134-H134)/L134,""))</f>
        <v/>
      </c>
      <c r="P134" s="41" t="str">
        <f aca="false">IF(OR(N134="",O134="",N134=0),"",O134/N134)</f>
        <v/>
      </c>
      <c r="Q134" s="40" t="str">
        <f aca="false">IF(OR($H134="",$K134=""),"",IFERROR(((K134-H134)/L134)*IF($D134="Buy",1,-1),""))</f>
        <v/>
      </c>
      <c r="R134" s="42" t="str">
        <f aca="false">IF(OR(N134="",$G134=""),"",IFERROR(N134*M134*G134,""))</f>
        <v/>
      </c>
      <c r="S134" s="42" t="str">
        <f aca="false">IF(OR(Q134="",$G134=""),"",IFERROR(Q134*M134*G134,""))</f>
        <v/>
      </c>
      <c r="T134" s="41" t="str">
        <f aca="false">IF(OR(S134="",R134="",R134=0),"",S134/R134)</f>
        <v/>
      </c>
      <c r="U134" s="43" t="str">
        <f aca="false">IF(S134="","",IF(S134&gt;0,"Win",IF(S134&lt;0,"Loss","BE")))</f>
        <v/>
      </c>
      <c r="V134" s="44" t="str">
        <f aca="false">IF(OR($H134="",R134=""),"",IFERROR(R134/(W134-S134),""))</f>
        <v/>
      </c>
      <c r="W134" s="45" t="str">
        <f aca="false">IF($H134="","",Settings!$B$3+SUM($S$2:S134))</f>
        <v/>
      </c>
      <c r="X134" s="45" t="str">
        <f aca="false">IF($H134="","",MAX(Settings!$B$3,MAX($W$2:W134)))</f>
        <v/>
      </c>
      <c r="Y134" s="44" t="str">
        <f aca="false">IF(OR($H134="",X134=""),"",IFERROR((W134-X134)/X134,""))</f>
        <v/>
      </c>
      <c r="Z134" s="35"/>
    </row>
    <row r="135" customFormat="false" ht="15" hidden="false" customHeight="true" outlineLevel="0" collapsed="false">
      <c r="A135" s="34" t="str">
        <f aca="false">IF($H135="","",ROW()-1)</f>
        <v/>
      </c>
      <c r="B135" s="35"/>
      <c r="C135" s="35"/>
      <c r="D135" s="34"/>
      <c r="E135" s="34"/>
      <c r="F135" s="35"/>
      <c r="G135" s="36"/>
      <c r="H135" s="37"/>
      <c r="I135" s="37"/>
      <c r="J135" s="37"/>
      <c r="K135" s="37"/>
      <c r="L135" s="38" t="str">
        <f aca="false">IFERROR(VLOOKUP($C135,Settings!$A$9:$C$28,2,FALSE()),"")</f>
        <v/>
      </c>
      <c r="M135" s="39" t="str">
        <f aca="false">IFERROR(VLOOKUP($C135,Settings!$A$9:$C$28,3,FALSE()),"")</f>
        <v/>
      </c>
      <c r="N135" s="40" t="str">
        <f aca="false">IF(OR($H135="",$I135=""),"",IFERROR(ABS(H135-I135)/L135,""))</f>
        <v/>
      </c>
      <c r="O135" s="40" t="str">
        <f aca="false">IF(OR($H135="",$J135=""),"",IFERROR(ABS(J135-H135)/L135,""))</f>
        <v/>
      </c>
      <c r="P135" s="41" t="str">
        <f aca="false">IF(OR(N135="",O135="",N135=0),"",O135/N135)</f>
        <v/>
      </c>
      <c r="Q135" s="40" t="str">
        <f aca="false">IF(OR($H135="",$K135=""),"",IFERROR(((K135-H135)/L135)*IF($D135="Buy",1,-1),""))</f>
        <v/>
      </c>
      <c r="R135" s="42" t="str">
        <f aca="false">IF(OR(N135="",$G135=""),"",IFERROR(N135*M135*G135,""))</f>
        <v/>
      </c>
      <c r="S135" s="42" t="str">
        <f aca="false">IF(OR(Q135="",$G135=""),"",IFERROR(Q135*M135*G135,""))</f>
        <v/>
      </c>
      <c r="T135" s="41" t="str">
        <f aca="false">IF(OR(S135="",R135="",R135=0),"",S135/R135)</f>
        <v/>
      </c>
      <c r="U135" s="43" t="str">
        <f aca="false">IF(S135="","",IF(S135&gt;0,"Win",IF(S135&lt;0,"Loss","BE")))</f>
        <v/>
      </c>
      <c r="V135" s="44" t="str">
        <f aca="false">IF(OR($H135="",R135=""),"",IFERROR(R135/(W135-S135),""))</f>
        <v/>
      </c>
      <c r="W135" s="45" t="str">
        <f aca="false">IF($H135="","",Settings!$B$3+SUM($S$2:S135))</f>
        <v/>
      </c>
      <c r="X135" s="45" t="str">
        <f aca="false">IF($H135="","",MAX(Settings!$B$3,MAX($W$2:W135)))</f>
        <v/>
      </c>
      <c r="Y135" s="44" t="str">
        <f aca="false">IF(OR($H135="",X135=""),"",IFERROR((W135-X135)/X135,""))</f>
        <v/>
      </c>
      <c r="Z135" s="35"/>
    </row>
    <row r="136" customFormat="false" ht="15" hidden="false" customHeight="true" outlineLevel="0" collapsed="false">
      <c r="A136" s="34" t="str">
        <f aca="false">IF($H136="","",ROW()-1)</f>
        <v/>
      </c>
      <c r="B136" s="35"/>
      <c r="C136" s="35"/>
      <c r="D136" s="34"/>
      <c r="E136" s="34"/>
      <c r="F136" s="35"/>
      <c r="G136" s="36"/>
      <c r="H136" s="37"/>
      <c r="I136" s="37"/>
      <c r="J136" s="37"/>
      <c r="K136" s="37"/>
      <c r="L136" s="38" t="str">
        <f aca="false">IFERROR(VLOOKUP($C136,Settings!$A$9:$C$28,2,FALSE()),"")</f>
        <v/>
      </c>
      <c r="M136" s="39" t="str">
        <f aca="false">IFERROR(VLOOKUP($C136,Settings!$A$9:$C$28,3,FALSE()),"")</f>
        <v/>
      </c>
      <c r="N136" s="40" t="str">
        <f aca="false">IF(OR($H136="",$I136=""),"",IFERROR(ABS(H136-I136)/L136,""))</f>
        <v/>
      </c>
      <c r="O136" s="40" t="str">
        <f aca="false">IF(OR($H136="",$J136=""),"",IFERROR(ABS(J136-H136)/L136,""))</f>
        <v/>
      </c>
      <c r="P136" s="41" t="str">
        <f aca="false">IF(OR(N136="",O136="",N136=0),"",O136/N136)</f>
        <v/>
      </c>
      <c r="Q136" s="40" t="str">
        <f aca="false">IF(OR($H136="",$K136=""),"",IFERROR(((K136-H136)/L136)*IF($D136="Buy",1,-1),""))</f>
        <v/>
      </c>
      <c r="R136" s="42" t="str">
        <f aca="false">IF(OR(N136="",$G136=""),"",IFERROR(N136*M136*G136,""))</f>
        <v/>
      </c>
      <c r="S136" s="42" t="str">
        <f aca="false">IF(OR(Q136="",$G136=""),"",IFERROR(Q136*M136*G136,""))</f>
        <v/>
      </c>
      <c r="T136" s="41" t="str">
        <f aca="false">IF(OR(S136="",R136="",R136=0),"",S136/R136)</f>
        <v/>
      </c>
      <c r="U136" s="43" t="str">
        <f aca="false">IF(S136="","",IF(S136&gt;0,"Win",IF(S136&lt;0,"Loss","BE")))</f>
        <v/>
      </c>
      <c r="V136" s="44" t="str">
        <f aca="false">IF(OR($H136="",R136=""),"",IFERROR(R136/(W136-S136),""))</f>
        <v/>
      </c>
      <c r="W136" s="45" t="str">
        <f aca="false">IF($H136="","",Settings!$B$3+SUM($S$2:S136))</f>
        <v/>
      </c>
      <c r="X136" s="45" t="str">
        <f aca="false">IF($H136="","",MAX(Settings!$B$3,MAX($W$2:W136)))</f>
        <v/>
      </c>
      <c r="Y136" s="44" t="str">
        <f aca="false">IF(OR($H136="",X136=""),"",IFERROR((W136-X136)/X136,""))</f>
        <v/>
      </c>
      <c r="Z136" s="35"/>
    </row>
    <row r="137" customFormat="false" ht="15" hidden="false" customHeight="true" outlineLevel="0" collapsed="false">
      <c r="A137" s="34" t="str">
        <f aca="false">IF($H137="","",ROW()-1)</f>
        <v/>
      </c>
      <c r="B137" s="35"/>
      <c r="C137" s="35"/>
      <c r="D137" s="34"/>
      <c r="E137" s="34"/>
      <c r="F137" s="35"/>
      <c r="G137" s="36"/>
      <c r="H137" s="37"/>
      <c r="I137" s="37"/>
      <c r="J137" s="37"/>
      <c r="K137" s="37"/>
      <c r="L137" s="38" t="str">
        <f aca="false">IFERROR(VLOOKUP($C137,Settings!$A$9:$C$28,2,FALSE()),"")</f>
        <v/>
      </c>
      <c r="M137" s="39" t="str">
        <f aca="false">IFERROR(VLOOKUP($C137,Settings!$A$9:$C$28,3,FALSE()),"")</f>
        <v/>
      </c>
      <c r="N137" s="40" t="str">
        <f aca="false">IF(OR($H137="",$I137=""),"",IFERROR(ABS(H137-I137)/L137,""))</f>
        <v/>
      </c>
      <c r="O137" s="40" t="str">
        <f aca="false">IF(OR($H137="",$J137=""),"",IFERROR(ABS(J137-H137)/L137,""))</f>
        <v/>
      </c>
      <c r="P137" s="41" t="str">
        <f aca="false">IF(OR(N137="",O137="",N137=0),"",O137/N137)</f>
        <v/>
      </c>
      <c r="Q137" s="40" t="str">
        <f aca="false">IF(OR($H137="",$K137=""),"",IFERROR(((K137-H137)/L137)*IF($D137="Buy",1,-1),""))</f>
        <v/>
      </c>
      <c r="R137" s="42" t="str">
        <f aca="false">IF(OR(N137="",$G137=""),"",IFERROR(N137*M137*G137,""))</f>
        <v/>
      </c>
      <c r="S137" s="42" t="str">
        <f aca="false">IF(OR(Q137="",$G137=""),"",IFERROR(Q137*M137*G137,""))</f>
        <v/>
      </c>
      <c r="T137" s="41" t="str">
        <f aca="false">IF(OR(S137="",R137="",R137=0),"",S137/R137)</f>
        <v/>
      </c>
      <c r="U137" s="43" t="str">
        <f aca="false">IF(S137="","",IF(S137&gt;0,"Win",IF(S137&lt;0,"Loss","BE")))</f>
        <v/>
      </c>
      <c r="V137" s="44" t="str">
        <f aca="false">IF(OR($H137="",R137=""),"",IFERROR(R137/(W137-S137),""))</f>
        <v/>
      </c>
      <c r="W137" s="45" t="str">
        <f aca="false">IF($H137="","",Settings!$B$3+SUM($S$2:S137))</f>
        <v/>
      </c>
      <c r="X137" s="45" t="str">
        <f aca="false">IF($H137="","",MAX(Settings!$B$3,MAX($W$2:W137)))</f>
        <v/>
      </c>
      <c r="Y137" s="44" t="str">
        <f aca="false">IF(OR($H137="",X137=""),"",IFERROR((W137-X137)/X137,""))</f>
        <v/>
      </c>
      <c r="Z137" s="35"/>
    </row>
    <row r="138" customFormat="false" ht="15" hidden="false" customHeight="true" outlineLevel="0" collapsed="false">
      <c r="A138" s="34" t="str">
        <f aca="false">IF($H138="","",ROW()-1)</f>
        <v/>
      </c>
      <c r="B138" s="35"/>
      <c r="C138" s="35"/>
      <c r="D138" s="34"/>
      <c r="E138" s="34"/>
      <c r="F138" s="35"/>
      <c r="G138" s="36"/>
      <c r="H138" s="37"/>
      <c r="I138" s="37"/>
      <c r="J138" s="37"/>
      <c r="K138" s="37"/>
      <c r="L138" s="38" t="str">
        <f aca="false">IFERROR(VLOOKUP($C138,Settings!$A$9:$C$28,2,FALSE()),"")</f>
        <v/>
      </c>
      <c r="M138" s="39" t="str">
        <f aca="false">IFERROR(VLOOKUP($C138,Settings!$A$9:$C$28,3,FALSE()),"")</f>
        <v/>
      </c>
      <c r="N138" s="40" t="str">
        <f aca="false">IF(OR($H138="",$I138=""),"",IFERROR(ABS(H138-I138)/L138,""))</f>
        <v/>
      </c>
      <c r="O138" s="40" t="str">
        <f aca="false">IF(OR($H138="",$J138=""),"",IFERROR(ABS(J138-H138)/L138,""))</f>
        <v/>
      </c>
      <c r="P138" s="41" t="str">
        <f aca="false">IF(OR(N138="",O138="",N138=0),"",O138/N138)</f>
        <v/>
      </c>
      <c r="Q138" s="40" t="str">
        <f aca="false">IF(OR($H138="",$K138=""),"",IFERROR(((K138-H138)/L138)*IF($D138="Buy",1,-1),""))</f>
        <v/>
      </c>
      <c r="R138" s="42" t="str">
        <f aca="false">IF(OR(N138="",$G138=""),"",IFERROR(N138*M138*G138,""))</f>
        <v/>
      </c>
      <c r="S138" s="42" t="str">
        <f aca="false">IF(OR(Q138="",$G138=""),"",IFERROR(Q138*M138*G138,""))</f>
        <v/>
      </c>
      <c r="T138" s="41" t="str">
        <f aca="false">IF(OR(S138="",R138="",R138=0),"",S138/R138)</f>
        <v/>
      </c>
      <c r="U138" s="43" t="str">
        <f aca="false">IF(S138="","",IF(S138&gt;0,"Win",IF(S138&lt;0,"Loss","BE")))</f>
        <v/>
      </c>
      <c r="V138" s="44" t="str">
        <f aca="false">IF(OR($H138="",R138=""),"",IFERROR(R138/(W138-S138),""))</f>
        <v/>
      </c>
      <c r="W138" s="45" t="str">
        <f aca="false">IF($H138="","",Settings!$B$3+SUM($S$2:S138))</f>
        <v/>
      </c>
      <c r="X138" s="45" t="str">
        <f aca="false">IF($H138="","",MAX(Settings!$B$3,MAX($W$2:W138)))</f>
        <v/>
      </c>
      <c r="Y138" s="44" t="str">
        <f aca="false">IF(OR($H138="",X138=""),"",IFERROR((W138-X138)/X138,""))</f>
        <v/>
      </c>
      <c r="Z138" s="35"/>
    </row>
    <row r="139" customFormat="false" ht="15" hidden="false" customHeight="true" outlineLevel="0" collapsed="false">
      <c r="A139" s="34" t="str">
        <f aca="false">IF($H139="","",ROW()-1)</f>
        <v/>
      </c>
      <c r="B139" s="35"/>
      <c r="C139" s="35"/>
      <c r="D139" s="34"/>
      <c r="E139" s="34"/>
      <c r="F139" s="35"/>
      <c r="G139" s="36"/>
      <c r="H139" s="37"/>
      <c r="I139" s="37"/>
      <c r="J139" s="37"/>
      <c r="K139" s="37"/>
      <c r="L139" s="38" t="str">
        <f aca="false">IFERROR(VLOOKUP($C139,Settings!$A$9:$C$28,2,FALSE()),"")</f>
        <v/>
      </c>
      <c r="M139" s="39" t="str">
        <f aca="false">IFERROR(VLOOKUP($C139,Settings!$A$9:$C$28,3,FALSE()),"")</f>
        <v/>
      </c>
      <c r="N139" s="40" t="str">
        <f aca="false">IF(OR($H139="",$I139=""),"",IFERROR(ABS(H139-I139)/L139,""))</f>
        <v/>
      </c>
      <c r="O139" s="40" t="str">
        <f aca="false">IF(OR($H139="",$J139=""),"",IFERROR(ABS(J139-H139)/L139,""))</f>
        <v/>
      </c>
      <c r="P139" s="41" t="str">
        <f aca="false">IF(OR(N139="",O139="",N139=0),"",O139/N139)</f>
        <v/>
      </c>
      <c r="Q139" s="40" t="str">
        <f aca="false">IF(OR($H139="",$K139=""),"",IFERROR(((K139-H139)/L139)*IF($D139="Buy",1,-1),""))</f>
        <v/>
      </c>
      <c r="R139" s="42" t="str">
        <f aca="false">IF(OR(N139="",$G139=""),"",IFERROR(N139*M139*G139,""))</f>
        <v/>
      </c>
      <c r="S139" s="42" t="str">
        <f aca="false">IF(OR(Q139="",$G139=""),"",IFERROR(Q139*M139*G139,""))</f>
        <v/>
      </c>
      <c r="T139" s="41" t="str">
        <f aca="false">IF(OR(S139="",R139="",R139=0),"",S139/R139)</f>
        <v/>
      </c>
      <c r="U139" s="43" t="str">
        <f aca="false">IF(S139="","",IF(S139&gt;0,"Win",IF(S139&lt;0,"Loss","BE")))</f>
        <v/>
      </c>
      <c r="V139" s="44" t="str">
        <f aca="false">IF(OR($H139="",R139=""),"",IFERROR(R139/(W139-S139),""))</f>
        <v/>
      </c>
      <c r="W139" s="45" t="str">
        <f aca="false">IF($H139="","",Settings!$B$3+SUM($S$2:S139))</f>
        <v/>
      </c>
      <c r="X139" s="45" t="str">
        <f aca="false">IF($H139="","",MAX(Settings!$B$3,MAX($W$2:W139)))</f>
        <v/>
      </c>
      <c r="Y139" s="44" t="str">
        <f aca="false">IF(OR($H139="",X139=""),"",IFERROR((W139-X139)/X139,""))</f>
        <v/>
      </c>
      <c r="Z139" s="35"/>
    </row>
    <row r="140" customFormat="false" ht="15" hidden="false" customHeight="true" outlineLevel="0" collapsed="false">
      <c r="A140" s="34" t="str">
        <f aca="false">IF($H140="","",ROW()-1)</f>
        <v/>
      </c>
      <c r="B140" s="35"/>
      <c r="C140" s="35"/>
      <c r="D140" s="34"/>
      <c r="E140" s="34"/>
      <c r="F140" s="35"/>
      <c r="G140" s="36"/>
      <c r="H140" s="37"/>
      <c r="I140" s="37"/>
      <c r="J140" s="37"/>
      <c r="K140" s="37"/>
      <c r="L140" s="38" t="str">
        <f aca="false">IFERROR(VLOOKUP($C140,Settings!$A$9:$C$28,2,FALSE()),"")</f>
        <v/>
      </c>
      <c r="M140" s="39" t="str">
        <f aca="false">IFERROR(VLOOKUP($C140,Settings!$A$9:$C$28,3,FALSE()),"")</f>
        <v/>
      </c>
      <c r="N140" s="40" t="str">
        <f aca="false">IF(OR($H140="",$I140=""),"",IFERROR(ABS(H140-I140)/L140,""))</f>
        <v/>
      </c>
      <c r="O140" s="40" t="str">
        <f aca="false">IF(OR($H140="",$J140=""),"",IFERROR(ABS(J140-H140)/L140,""))</f>
        <v/>
      </c>
      <c r="P140" s="41" t="str">
        <f aca="false">IF(OR(N140="",O140="",N140=0),"",O140/N140)</f>
        <v/>
      </c>
      <c r="Q140" s="40" t="str">
        <f aca="false">IF(OR($H140="",$K140=""),"",IFERROR(((K140-H140)/L140)*IF($D140="Buy",1,-1),""))</f>
        <v/>
      </c>
      <c r="R140" s="42" t="str">
        <f aca="false">IF(OR(N140="",$G140=""),"",IFERROR(N140*M140*G140,""))</f>
        <v/>
      </c>
      <c r="S140" s="42" t="str">
        <f aca="false">IF(OR(Q140="",$G140=""),"",IFERROR(Q140*M140*G140,""))</f>
        <v/>
      </c>
      <c r="T140" s="41" t="str">
        <f aca="false">IF(OR(S140="",R140="",R140=0),"",S140/R140)</f>
        <v/>
      </c>
      <c r="U140" s="43" t="str">
        <f aca="false">IF(S140="","",IF(S140&gt;0,"Win",IF(S140&lt;0,"Loss","BE")))</f>
        <v/>
      </c>
      <c r="V140" s="44" t="str">
        <f aca="false">IF(OR($H140="",R140=""),"",IFERROR(R140/(W140-S140),""))</f>
        <v/>
      </c>
      <c r="W140" s="45" t="str">
        <f aca="false">IF($H140="","",Settings!$B$3+SUM($S$2:S140))</f>
        <v/>
      </c>
      <c r="X140" s="45" t="str">
        <f aca="false">IF($H140="","",MAX(Settings!$B$3,MAX($W$2:W140)))</f>
        <v/>
      </c>
      <c r="Y140" s="44" t="str">
        <f aca="false">IF(OR($H140="",X140=""),"",IFERROR((W140-X140)/X140,""))</f>
        <v/>
      </c>
      <c r="Z140" s="35"/>
    </row>
    <row r="141" customFormat="false" ht="15" hidden="false" customHeight="true" outlineLevel="0" collapsed="false">
      <c r="A141" s="34" t="str">
        <f aca="false">IF($H141="","",ROW()-1)</f>
        <v/>
      </c>
      <c r="B141" s="35"/>
      <c r="C141" s="35"/>
      <c r="D141" s="34"/>
      <c r="E141" s="34"/>
      <c r="F141" s="35"/>
      <c r="G141" s="36"/>
      <c r="H141" s="37"/>
      <c r="I141" s="37"/>
      <c r="J141" s="37"/>
      <c r="K141" s="37"/>
      <c r="L141" s="38" t="str">
        <f aca="false">IFERROR(VLOOKUP($C141,Settings!$A$9:$C$28,2,FALSE()),"")</f>
        <v/>
      </c>
      <c r="M141" s="39" t="str">
        <f aca="false">IFERROR(VLOOKUP($C141,Settings!$A$9:$C$28,3,FALSE()),"")</f>
        <v/>
      </c>
      <c r="N141" s="40" t="str">
        <f aca="false">IF(OR($H141="",$I141=""),"",IFERROR(ABS(H141-I141)/L141,""))</f>
        <v/>
      </c>
      <c r="O141" s="40" t="str">
        <f aca="false">IF(OR($H141="",$J141=""),"",IFERROR(ABS(J141-H141)/L141,""))</f>
        <v/>
      </c>
      <c r="P141" s="41" t="str">
        <f aca="false">IF(OR(N141="",O141="",N141=0),"",O141/N141)</f>
        <v/>
      </c>
      <c r="Q141" s="40" t="str">
        <f aca="false">IF(OR($H141="",$K141=""),"",IFERROR(((K141-H141)/L141)*IF($D141="Buy",1,-1),""))</f>
        <v/>
      </c>
      <c r="R141" s="42" t="str">
        <f aca="false">IF(OR(N141="",$G141=""),"",IFERROR(N141*M141*G141,""))</f>
        <v/>
      </c>
      <c r="S141" s="42" t="str">
        <f aca="false">IF(OR(Q141="",$G141=""),"",IFERROR(Q141*M141*G141,""))</f>
        <v/>
      </c>
      <c r="T141" s="41" t="str">
        <f aca="false">IF(OR(S141="",R141="",R141=0),"",S141/R141)</f>
        <v/>
      </c>
      <c r="U141" s="43" t="str">
        <f aca="false">IF(S141="","",IF(S141&gt;0,"Win",IF(S141&lt;0,"Loss","BE")))</f>
        <v/>
      </c>
      <c r="V141" s="44" t="str">
        <f aca="false">IF(OR($H141="",R141=""),"",IFERROR(R141/(W141-S141),""))</f>
        <v/>
      </c>
      <c r="W141" s="45" t="str">
        <f aca="false">IF($H141="","",Settings!$B$3+SUM($S$2:S141))</f>
        <v/>
      </c>
      <c r="X141" s="45" t="str">
        <f aca="false">IF($H141="","",MAX(Settings!$B$3,MAX($W$2:W141)))</f>
        <v/>
      </c>
      <c r="Y141" s="44" t="str">
        <f aca="false">IF(OR($H141="",X141=""),"",IFERROR((W141-X141)/X141,""))</f>
        <v/>
      </c>
      <c r="Z141" s="35"/>
    </row>
    <row r="142" customFormat="false" ht="15" hidden="false" customHeight="true" outlineLevel="0" collapsed="false">
      <c r="A142" s="34" t="str">
        <f aca="false">IF($H142="","",ROW()-1)</f>
        <v/>
      </c>
      <c r="B142" s="35"/>
      <c r="C142" s="35"/>
      <c r="D142" s="34"/>
      <c r="E142" s="34"/>
      <c r="F142" s="35"/>
      <c r="G142" s="36"/>
      <c r="H142" s="37"/>
      <c r="I142" s="37"/>
      <c r="J142" s="37"/>
      <c r="K142" s="37"/>
      <c r="L142" s="38" t="str">
        <f aca="false">IFERROR(VLOOKUP($C142,Settings!$A$9:$C$28,2,FALSE()),"")</f>
        <v/>
      </c>
      <c r="M142" s="39" t="str">
        <f aca="false">IFERROR(VLOOKUP($C142,Settings!$A$9:$C$28,3,FALSE()),"")</f>
        <v/>
      </c>
      <c r="N142" s="40" t="str">
        <f aca="false">IF(OR($H142="",$I142=""),"",IFERROR(ABS(H142-I142)/L142,""))</f>
        <v/>
      </c>
      <c r="O142" s="40" t="str">
        <f aca="false">IF(OR($H142="",$J142=""),"",IFERROR(ABS(J142-H142)/L142,""))</f>
        <v/>
      </c>
      <c r="P142" s="41" t="str">
        <f aca="false">IF(OR(N142="",O142="",N142=0),"",O142/N142)</f>
        <v/>
      </c>
      <c r="Q142" s="40" t="str">
        <f aca="false">IF(OR($H142="",$K142=""),"",IFERROR(((K142-H142)/L142)*IF($D142="Buy",1,-1),""))</f>
        <v/>
      </c>
      <c r="R142" s="42" t="str">
        <f aca="false">IF(OR(N142="",$G142=""),"",IFERROR(N142*M142*G142,""))</f>
        <v/>
      </c>
      <c r="S142" s="42" t="str">
        <f aca="false">IF(OR(Q142="",$G142=""),"",IFERROR(Q142*M142*G142,""))</f>
        <v/>
      </c>
      <c r="T142" s="41" t="str">
        <f aca="false">IF(OR(S142="",R142="",R142=0),"",S142/R142)</f>
        <v/>
      </c>
      <c r="U142" s="43" t="str">
        <f aca="false">IF(S142="","",IF(S142&gt;0,"Win",IF(S142&lt;0,"Loss","BE")))</f>
        <v/>
      </c>
      <c r="V142" s="44" t="str">
        <f aca="false">IF(OR($H142="",R142=""),"",IFERROR(R142/(W142-S142),""))</f>
        <v/>
      </c>
      <c r="W142" s="45" t="str">
        <f aca="false">IF($H142="","",Settings!$B$3+SUM($S$2:S142))</f>
        <v/>
      </c>
      <c r="X142" s="45" t="str">
        <f aca="false">IF($H142="","",MAX(Settings!$B$3,MAX($W$2:W142)))</f>
        <v/>
      </c>
      <c r="Y142" s="44" t="str">
        <f aca="false">IF(OR($H142="",X142=""),"",IFERROR((W142-X142)/X142,""))</f>
        <v/>
      </c>
      <c r="Z142" s="35"/>
    </row>
    <row r="143" customFormat="false" ht="15" hidden="false" customHeight="true" outlineLevel="0" collapsed="false">
      <c r="A143" s="34" t="str">
        <f aca="false">IF($H143="","",ROW()-1)</f>
        <v/>
      </c>
      <c r="B143" s="35"/>
      <c r="C143" s="35"/>
      <c r="D143" s="34"/>
      <c r="E143" s="34"/>
      <c r="F143" s="35"/>
      <c r="G143" s="36"/>
      <c r="H143" s="37"/>
      <c r="I143" s="37"/>
      <c r="J143" s="37"/>
      <c r="K143" s="37"/>
      <c r="L143" s="38" t="str">
        <f aca="false">IFERROR(VLOOKUP($C143,Settings!$A$9:$C$28,2,FALSE()),"")</f>
        <v/>
      </c>
      <c r="M143" s="39" t="str">
        <f aca="false">IFERROR(VLOOKUP($C143,Settings!$A$9:$C$28,3,FALSE()),"")</f>
        <v/>
      </c>
      <c r="N143" s="40" t="str">
        <f aca="false">IF(OR($H143="",$I143=""),"",IFERROR(ABS(H143-I143)/L143,""))</f>
        <v/>
      </c>
      <c r="O143" s="40" t="str">
        <f aca="false">IF(OR($H143="",$J143=""),"",IFERROR(ABS(J143-H143)/L143,""))</f>
        <v/>
      </c>
      <c r="P143" s="41" t="str">
        <f aca="false">IF(OR(N143="",O143="",N143=0),"",O143/N143)</f>
        <v/>
      </c>
      <c r="Q143" s="40" t="str">
        <f aca="false">IF(OR($H143="",$K143=""),"",IFERROR(((K143-H143)/L143)*IF($D143="Buy",1,-1),""))</f>
        <v/>
      </c>
      <c r="R143" s="42" t="str">
        <f aca="false">IF(OR(N143="",$G143=""),"",IFERROR(N143*M143*G143,""))</f>
        <v/>
      </c>
      <c r="S143" s="42" t="str">
        <f aca="false">IF(OR(Q143="",$G143=""),"",IFERROR(Q143*M143*G143,""))</f>
        <v/>
      </c>
      <c r="T143" s="41" t="str">
        <f aca="false">IF(OR(S143="",R143="",R143=0),"",S143/R143)</f>
        <v/>
      </c>
      <c r="U143" s="43" t="str">
        <f aca="false">IF(S143="","",IF(S143&gt;0,"Win",IF(S143&lt;0,"Loss","BE")))</f>
        <v/>
      </c>
      <c r="V143" s="44" t="str">
        <f aca="false">IF(OR($H143="",R143=""),"",IFERROR(R143/(W143-S143),""))</f>
        <v/>
      </c>
      <c r="W143" s="45" t="str">
        <f aca="false">IF($H143="","",Settings!$B$3+SUM($S$2:S143))</f>
        <v/>
      </c>
      <c r="X143" s="45" t="str">
        <f aca="false">IF($H143="","",MAX(Settings!$B$3,MAX($W$2:W143)))</f>
        <v/>
      </c>
      <c r="Y143" s="44" t="str">
        <f aca="false">IF(OR($H143="",X143=""),"",IFERROR((W143-X143)/X143,""))</f>
        <v/>
      </c>
      <c r="Z143" s="35"/>
    </row>
    <row r="144" customFormat="false" ht="15" hidden="false" customHeight="true" outlineLevel="0" collapsed="false">
      <c r="A144" s="34" t="str">
        <f aca="false">IF($H144="","",ROW()-1)</f>
        <v/>
      </c>
      <c r="B144" s="35"/>
      <c r="C144" s="35"/>
      <c r="D144" s="34"/>
      <c r="E144" s="34"/>
      <c r="F144" s="35"/>
      <c r="G144" s="36"/>
      <c r="H144" s="37"/>
      <c r="I144" s="37"/>
      <c r="J144" s="37"/>
      <c r="K144" s="37"/>
      <c r="L144" s="38" t="str">
        <f aca="false">IFERROR(VLOOKUP($C144,Settings!$A$9:$C$28,2,FALSE()),"")</f>
        <v/>
      </c>
      <c r="M144" s="39" t="str">
        <f aca="false">IFERROR(VLOOKUP($C144,Settings!$A$9:$C$28,3,FALSE()),"")</f>
        <v/>
      </c>
      <c r="N144" s="40" t="str">
        <f aca="false">IF(OR($H144="",$I144=""),"",IFERROR(ABS(H144-I144)/L144,""))</f>
        <v/>
      </c>
      <c r="O144" s="40" t="str">
        <f aca="false">IF(OR($H144="",$J144=""),"",IFERROR(ABS(J144-H144)/L144,""))</f>
        <v/>
      </c>
      <c r="P144" s="41" t="str">
        <f aca="false">IF(OR(N144="",O144="",N144=0),"",O144/N144)</f>
        <v/>
      </c>
      <c r="Q144" s="40" t="str">
        <f aca="false">IF(OR($H144="",$K144=""),"",IFERROR(((K144-H144)/L144)*IF($D144="Buy",1,-1),""))</f>
        <v/>
      </c>
      <c r="R144" s="42" t="str">
        <f aca="false">IF(OR(N144="",$G144=""),"",IFERROR(N144*M144*G144,""))</f>
        <v/>
      </c>
      <c r="S144" s="42" t="str">
        <f aca="false">IF(OR(Q144="",$G144=""),"",IFERROR(Q144*M144*G144,""))</f>
        <v/>
      </c>
      <c r="T144" s="41" t="str">
        <f aca="false">IF(OR(S144="",R144="",R144=0),"",S144/R144)</f>
        <v/>
      </c>
      <c r="U144" s="43" t="str">
        <f aca="false">IF(S144="","",IF(S144&gt;0,"Win",IF(S144&lt;0,"Loss","BE")))</f>
        <v/>
      </c>
      <c r="V144" s="44" t="str">
        <f aca="false">IF(OR($H144="",R144=""),"",IFERROR(R144/(W144-S144),""))</f>
        <v/>
      </c>
      <c r="W144" s="45" t="str">
        <f aca="false">IF($H144="","",Settings!$B$3+SUM($S$2:S144))</f>
        <v/>
      </c>
      <c r="X144" s="45" t="str">
        <f aca="false">IF($H144="","",MAX(Settings!$B$3,MAX($W$2:W144)))</f>
        <v/>
      </c>
      <c r="Y144" s="44" t="str">
        <f aca="false">IF(OR($H144="",X144=""),"",IFERROR((W144-X144)/X144,""))</f>
        <v/>
      </c>
      <c r="Z144" s="35"/>
    </row>
    <row r="145" customFormat="false" ht="15" hidden="false" customHeight="true" outlineLevel="0" collapsed="false">
      <c r="A145" s="34" t="str">
        <f aca="false">IF($H145="","",ROW()-1)</f>
        <v/>
      </c>
      <c r="B145" s="35"/>
      <c r="C145" s="35"/>
      <c r="D145" s="34"/>
      <c r="E145" s="34"/>
      <c r="F145" s="35"/>
      <c r="G145" s="36"/>
      <c r="H145" s="37"/>
      <c r="I145" s="37"/>
      <c r="J145" s="37"/>
      <c r="K145" s="37"/>
      <c r="L145" s="38" t="str">
        <f aca="false">IFERROR(VLOOKUP($C145,Settings!$A$9:$C$28,2,FALSE()),"")</f>
        <v/>
      </c>
      <c r="M145" s="39" t="str">
        <f aca="false">IFERROR(VLOOKUP($C145,Settings!$A$9:$C$28,3,FALSE()),"")</f>
        <v/>
      </c>
      <c r="N145" s="40" t="str">
        <f aca="false">IF(OR($H145="",$I145=""),"",IFERROR(ABS(H145-I145)/L145,""))</f>
        <v/>
      </c>
      <c r="O145" s="40" t="str">
        <f aca="false">IF(OR($H145="",$J145=""),"",IFERROR(ABS(J145-H145)/L145,""))</f>
        <v/>
      </c>
      <c r="P145" s="41" t="str">
        <f aca="false">IF(OR(N145="",O145="",N145=0),"",O145/N145)</f>
        <v/>
      </c>
      <c r="Q145" s="40" t="str">
        <f aca="false">IF(OR($H145="",$K145=""),"",IFERROR(((K145-H145)/L145)*IF($D145="Buy",1,-1),""))</f>
        <v/>
      </c>
      <c r="R145" s="42" t="str">
        <f aca="false">IF(OR(N145="",$G145=""),"",IFERROR(N145*M145*G145,""))</f>
        <v/>
      </c>
      <c r="S145" s="42" t="str">
        <f aca="false">IF(OR(Q145="",$G145=""),"",IFERROR(Q145*M145*G145,""))</f>
        <v/>
      </c>
      <c r="T145" s="41" t="str">
        <f aca="false">IF(OR(S145="",R145="",R145=0),"",S145/R145)</f>
        <v/>
      </c>
      <c r="U145" s="43" t="str">
        <f aca="false">IF(S145="","",IF(S145&gt;0,"Win",IF(S145&lt;0,"Loss","BE")))</f>
        <v/>
      </c>
      <c r="V145" s="44" t="str">
        <f aca="false">IF(OR($H145="",R145=""),"",IFERROR(R145/(W145-S145),""))</f>
        <v/>
      </c>
      <c r="W145" s="45" t="str">
        <f aca="false">IF($H145="","",Settings!$B$3+SUM($S$2:S145))</f>
        <v/>
      </c>
      <c r="X145" s="45" t="str">
        <f aca="false">IF($H145="","",MAX(Settings!$B$3,MAX($W$2:W145)))</f>
        <v/>
      </c>
      <c r="Y145" s="44" t="str">
        <f aca="false">IF(OR($H145="",X145=""),"",IFERROR((W145-X145)/X145,""))</f>
        <v/>
      </c>
      <c r="Z145" s="35"/>
    </row>
    <row r="146" customFormat="false" ht="15" hidden="false" customHeight="true" outlineLevel="0" collapsed="false">
      <c r="A146" s="34" t="str">
        <f aca="false">IF($H146="","",ROW()-1)</f>
        <v/>
      </c>
      <c r="B146" s="35"/>
      <c r="C146" s="35"/>
      <c r="D146" s="34"/>
      <c r="E146" s="34"/>
      <c r="F146" s="35"/>
      <c r="G146" s="36"/>
      <c r="H146" s="37"/>
      <c r="I146" s="37"/>
      <c r="J146" s="37"/>
      <c r="K146" s="37"/>
      <c r="L146" s="38" t="str">
        <f aca="false">IFERROR(VLOOKUP($C146,Settings!$A$9:$C$28,2,FALSE()),"")</f>
        <v/>
      </c>
      <c r="M146" s="39" t="str">
        <f aca="false">IFERROR(VLOOKUP($C146,Settings!$A$9:$C$28,3,FALSE()),"")</f>
        <v/>
      </c>
      <c r="N146" s="40" t="str">
        <f aca="false">IF(OR($H146="",$I146=""),"",IFERROR(ABS(H146-I146)/L146,""))</f>
        <v/>
      </c>
      <c r="O146" s="40" t="str">
        <f aca="false">IF(OR($H146="",$J146=""),"",IFERROR(ABS(J146-H146)/L146,""))</f>
        <v/>
      </c>
      <c r="P146" s="41" t="str">
        <f aca="false">IF(OR(N146="",O146="",N146=0),"",O146/N146)</f>
        <v/>
      </c>
      <c r="Q146" s="40" t="str">
        <f aca="false">IF(OR($H146="",$K146=""),"",IFERROR(((K146-H146)/L146)*IF($D146="Buy",1,-1),""))</f>
        <v/>
      </c>
      <c r="R146" s="42" t="str">
        <f aca="false">IF(OR(N146="",$G146=""),"",IFERROR(N146*M146*G146,""))</f>
        <v/>
      </c>
      <c r="S146" s="42" t="str">
        <f aca="false">IF(OR(Q146="",$G146=""),"",IFERROR(Q146*M146*G146,""))</f>
        <v/>
      </c>
      <c r="T146" s="41" t="str">
        <f aca="false">IF(OR(S146="",R146="",R146=0),"",S146/R146)</f>
        <v/>
      </c>
      <c r="U146" s="43" t="str">
        <f aca="false">IF(S146="","",IF(S146&gt;0,"Win",IF(S146&lt;0,"Loss","BE")))</f>
        <v/>
      </c>
      <c r="V146" s="44" t="str">
        <f aca="false">IF(OR($H146="",R146=""),"",IFERROR(R146/(W146-S146),""))</f>
        <v/>
      </c>
      <c r="W146" s="45" t="str">
        <f aca="false">IF($H146="","",Settings!$B$3+SUM($S$2:S146))</f>
        <v/>
      </c>
      <c r="X146" s="45" t="str">
        <f aca="false">IF($H146="","",MAX(Settings!$B$3,MAX($W$2:W146)))</f>
        <v/>
      </c>
      <c r="Y146" s="44" t="str">
        <f aca="false">IF(OR($H146="",X146=""),"",IFERROR((W146-X146)/X146,""))</f>
        <v/>
      </c>
      <c r="Z146" s="35"/>
    </row>
    <row r="147" customFormat="false" ht="15" hidden="false" customHeight="true" outlineLevel="0" collapsed="false">
      <c r="A147" s="34" t="str">
        <f aca="false">IF($H147="","",ROW()-1)</f>
        <v/>
      </c>
      <c r="B147" s="35"/>
      <c r="C147" s="35"/>
      <c r="D147" s="34"/>
      <c r="E147" s="34"/>
      <c r="F147" s="35"/>
      <c r="G147" s="36"/>
      <c r="H147" s="37"/>
      <c r="I147" s="37"/>
      <c r="J147" s="37"/>
      <c r="K147" s="37"/>
      <c r="L147" s="38" t="str">
        <f aca="false">IFERROR(VLOOKUP($C147,Settings!$A$9:$C$28,2,FALSE()),"")</f>
        <v/>
      </c>
      <c r="M147" s="39" t="str">
        <f aca="false">IFERROR(VLOOKUP($C147,Settings!$A$9:$C$28,3,FALSE()),"")</f>
        <v/>
      </c>
      <c r="N147" s="40" t="str">
        <f aca="false">IF(OR($H147="",$I147=""),"",IFERROR(ABS(H147-I147)/L147,""))</f>
        <v/>
      </c>
      <c r="O147" s="40" t="str">
        <f aca="false">IF(OR($H147="",$J147=""),"",IFERROR(ABS(J147-H147)/L147,""))</f>
        <v/>
      </c>
      <c r="P147" s="41" t="str">
        <f aca="false">IF(OR(N147="",O147="",N147=0),"",O147/N147)</f>
        <v/>
      </c>
      <c r="Q147" s="40" t="str">
        <f aca="false">IF(OR($H147="",$K147=""),"",IFERROR(((K147-H147)/L147)*IF($D147="Buy",1,-1),""))</f>
        <v/>
      </c>
      <c r="R147" s="42" t="str">
        <f aca="false">IF(OR(N147="",$G147=""),"",IFERROR(N147*M147*G147,""))</f>
        <v/>
      </c>
      <c r="S147" s="42" t="str">
        <f aca="false">IF(OR(Q147="",$G147=""),"",IFERROR(Q147*M147*G147,""))</f>
        <v/>
      </c>
      <c r="T147" s="41" t="str">
        <f aca="false">IF(OR(S147="",R147="",R147=0),"",S147/R147)</f>
        <v/>
      </c>
      <c r="U147" s="43" t="str">
        <f aca="false">IF(S147="","",IF(S147&gt;0,"Win",IF(S147&lt;0,"Loss","BE")))</f>
        <v/>
      </c>
      <c r="V147" s="44" t="str">
        <f aca="false">IF(OR($H147="",R147=""),"",IFERROR(R147/(W147-S147),""))</f>
        <v/>
      </c>
      <c r="W147" s="45" t="str">
        <f aca="false">IF($H147="","",Settings!$B$3+SUM($S$2:S147))</f>
        <v/>
      </c>
      <c r="X147" s="45" t="str">
        <f aca="false">IF($H147="","",MAX(Settings!$B$3,MAX($W$2:W147)))</f>
        <v/>
      </c>
      <c r="Y147" s="44" t="str">
        <f aca="false">IF(OR($H147="",X147=""),"",IFERROR((W147-X147)/X147,""))</f>
        <v/>
      </c>
      <c r="Z147" s="35"/>
    </row>
    <row r="148" customFormat="false" ht="15" hidden="false" customHeight="true" outlineLevel="0" collapsed="false">
      <c r="A148" s="34" t="str">
        <f aca="false">IF($H148="","",ROW()-1)</f>
        <v/>
      </c>
      <c r="B148" s="35"/>
      <c r="C148" s="35"/>
      <c r="D148" s="34"/>
      <c r="E148" s="34"/>
      <c r="F148" s="35"/>
      <c r="G148" s="36"/>
      <c r="H148" s="37"/>
      <c r="I148" s="37"/>
      <c r="J148" s="37"/>
      <c r="K148" s="37"/>
      <c r="L148" s="38" t="str">
        <f aca="false">IFERROR(VLOOKUP($C148,Settings!$A$9:$C$28,2,FALSE()),"")</f>
        <v/>
      </c>
      <c r="M148" s="39" t="str">
        <f aca="false">IFERROR(VLOOKUP($C148,Settings!$A$9:$C$28,3,FALSE()),"")</f>
        <v/>
      </c>
      <c r="N148" s="40" t="str">
        <f aca="false">IF(OR($H148="",$I148=""),"",IFERROR(ABS(H148-I148)/L148,""))</f>
        <v/>
      </c>
      <c r="O148" s="40" t="str">
        <f aca="false">IF(OR($H148="",$J148=""),"",IFERROR(ABS(J148-H148)/L148,""))</f>
        <v/>
      </c>
      <c r="P148" s="41" t="str">
        <f aca="false">IF(OR(N148="",O148="",N148=0),"",O148/N148)</f>
        <v/>
      </c>
      <c r="Q148" s="40" t="str">
        <f aca="false">IF(OR($H148="",$K148=""),"",IFERROR(((K148-H148)/L148)*IF($D148="Buy",1,-1),""))</f>
        <v/>
      </c>
      <c r="R148" s="42" t="str">
        <f aca="false">IF(OR(N148="",$G148=""),"",IFERROR(N148*M148*G148,""))</f>
        <v/>
      </c>
      <c r="S148" s="42" t="str">
        <f aca="false">IF(OR(Q148="",$G148=""),"",IFERROR(Q148*M148*G148,""))</f>
        <v/>
      </c>
      <c r="T148" s="41" t="str">
        <f aca="false">IF(OR(S148="",R148="",R148=0),"",S148/R148)</f>
        <v/>
      </c>
      <c r="U148" s="43" t="str">
        <f aca="false">IF(S148="","",IF(S148&gt;0,"Win",IF(S148&lt;0,"Loss","BE")))</f>
        <v/>
      </c>
      <c r="V148" s="44" t="str">
        <f aca="false">IF(OR($H148="",R148=""),"",IFERROR(R148/(W148-S148),""))</f>
        <v/>
      </c>
      <c r="W148" s="45" t="str">
        <f aca="false">IF($H148="","",Settings!$B$3+SUM($S$2:S148))</f>
        <v/>
      </c>
      <c r="X148" s="45" t="str">
        <f aca="false">IF($H148="","",MAX(Settings!$B$3,MAX($W$2:W148)))</f>
        <v/>
      </c>
      <c r="Y148" s="44" t="str">
        <f aca="false">IF(OR($H148="",X148=""),"",IFERROR((W148-X148)/X148,""))</f>
        <v/>
      </c>
      <c r="Z148" s="35"/>
    </row>
    <row r="149" customFormat="false" ht="15" hidden="false" customHeight="true" outlineLevel="0" collapsed="false">
      <c r="A149" s="34" t="str">
        <f aca="false">IF($H149="","",ROW()-1)</f>
        <v/>
      </c>
      <c r="B149" s="35"/>
      <c r="C149" s="35"/>
      <c r="D149" s="34"/>
      <c r="E149" s="34"/>
      <c r="F149" s="35"/>
      <c r="G149" s="36"/>
      <c r="H149" s="37"/>
      <c r="I149" s="37"/>
      <c r="J149" s="37"/>
      <c r="K149" s="37"/>
      <c r="L149" s="38" t="str">
        <f aca="false">IFERROR(VLOOKUP($C149,Settings!$A$9:$C$28,2,FALSE()),"")</f>
        <v/>
      </c>
      <c r="M149" s="39" t="str">
        <f aca="false">IFERROR(VLOOKUP($C149,Settings!$A$9:$C$28,3,FALSE()),"")</f>
        <v/>
      </c>
      <c r="N149" s="40" t="str">
        <f aca="false">IF(OR($H149="",$I149=""),"",IFERROR(ABS(H149-I149)/L149,""))</f>
        <v/>
      </c>
      <c r="O149" s="40" t="str">
        <f aca="false">IF(OR($H149="",$J149=""),"",IFERROR(ABS(J149-H149)/L149,""))</f>
        <v/>
      </c>
      <c r="P149" s="41" t="str">
        <f aca="false">IF(OR(N149="",O149="",N149=0),"",O149/N149)</f>
        <v/>
      </c>
      <c r="Q149" s="40" t="str">
        <f aca="false">IF(OR($H149="",$K149=""),"",IFERROR(((K149-H149)/L149)*IF($D149="Buy",1,-1),""))</f>
        <v/>
      </c>
      <c r="R149" s="42" t="str">
        <f aca="false">IF(OR(N149="",$G149=""),"",IFERROR(N149*M149*G149,""))</f>
        <v/>
      </c>
      <c r="S149" s="42" t="str">
        <f aca="false">IF(OR(Q149="",$G149=""),"",IFERROR(Q149*M149*G149,""))</f>
        <v/>
      </c>
      <c r="T149" s="41" t="str">
        <f aca="false">IF(OR(S149="",R149="",R149=0),"",S149/R149)</f>
        <v/>
      </c>
      <c r="U149" s="43" t="str">
        <f aca="false">IF(S149="","",IF(S149&gt;0,"Win",IF(S149&lt;0,"Loss","BE")))</f>
        <v/>
      </c>
      <c r="V149" s="44" t="str">
        <f aca="false">IF(OR($H149="",R149=""),"",IFERROR(R149/(W149-S149),""))</f>
        <v/>
      </c>
      <c r="W149" s="45" t="str">
        <f aca="false">IF($H149="","",Settings!$B$3+SUM($S$2:S149))</f>
        <v/>
      </c>
      <c r="X149" s="45" t="str">
        <f aca="false">IF($H149="","",MAX(Settings!$B$3,MAX($W$2:W149)))</f>
        <v/>
      </c>
      <c r="Y149" s="44" t="str">
        <f aca="false">IF(OR($H149="",X149=""),"",IFERROR((W149-X149)/X149,""))</f>
        <v/>
      </c>
      <c r="Z149" s="35"/>
    </row>
    <row r="150" customFormat="false" ht="15" hidden="false" customHeight="true" outlineLevel="0" collapsed="false">
      <c r="A150" s="34" t="str">
        <f aca="false">IF($H150="","",ROW()-1)</f>
        <v/>
      </c>
      <c r="B150" s="35"/>
      <c r="C150" s="35"/>
      <c r="D150" s="34"/>
      <c r="E150" s="34"/>
      <c r="F150" s="35"/>
      <c r="G150" s="36"/>
      <c r="H150" s="37"/>
      <c r="I150" s="37"/>
      <c r="J150" s="37"/>
      <c r="K150" s="37"/>
      <c r="L150" s="38" t="str">
        <f aca="false">IFERROR(VLOOKUP($C150,Settings!$A$9:$C$28,2,FALSE()),"")</f>
        <v/>
      </c>
      <c r="M150" s="39" t="str">
        <f aca="false">IFERROR(VLOOKUP($C150,Settings!$A$9:$C$28,3,FALSE()),"")</f>
        <v/>
      </c>
      <c r="N150" s="40" t="str">
        <f aca="false">IF(OR($H150="",$I150=""),"",IFERROR(ABS(H150-I150)/L150,""))</f>
        <v/>
      </c>
      <c r="O150" s="40" t="str">
        <f aca="false">IF(OR($H150="",$J150=""),"",IFERROR(ABS(J150-H150)/L150,""))</f>
        <v/>
      </c>
      <c r="P150" s="41" t="str">
        <f aca="false">IF(OR(N150="",O150="",N150=0),"",O150/N150)</f>
        <v/>
      </c>
      <c r="Q150" s="40" t="str">
        <f aca="false">IF(OR($H150="",$K150=""),"",IFERROR(((K150-H150)/L150)*IF($D150="Buy",1,-1),""))</f>
        <v/>
      </c>
      <c r="R150" s="42" t="str">
        <f aca="false">IF(OR(N150="",$G150=""),"",IFERROR(N150*M150*G150,""))</f>
        <v/>
      </c>
      <c r="S150" s="42" t="str">
        <f aca="false">IF(OR(Q150="",$G150=""),"",IFERROR(Q150*M150*G150,""))</f>
        <v/>
      </c>
      <c r="T150" s="41" t="str">
        <f aca="false">IF(OR(S150="",R150="",R150=0),"",S150/R150)</f>
        <v/>
      </c>
      <c r="U150" s="43" t="str">
        <f aca="false">IF(S150="","",IF(S150&gt;0,"Win",IF(S150&lt;0,"Loss","BE")))</f>
        <v/>
      </c>
      <c r="V150" s="44" t="str">
        <f aca="false">IF(OR($H150="",R150=""),"",IFERROR(R150/(W150-S150),""))</f>
        <v/>
      </c>
      <c r="W150" s="45" t="str">
        <f aca="false">IF($H150="","",Settings!$B$3+SUM($S$2:S150))</f>
        <v/>
      </c>
      <c r="X150" s="45" t="str">
        <f aca="false">IF($H150="","",MAX(Settings!$B$3,MAX($W$2:W150)))</f>
        <v/>
      </c>
      <c r="Y150" s="44" t="str">
        <f aca="false">IF(OR($H150="",X150=""),"",IFERROR((W150-X150)/X150,""))</f>
        <v/>
      </c>
      <c r="Z150" s="35"/>
    </row>
    <row r="151" customFormat="false" ht="15" hidden="false" customHeight="true" outlineLevel="0" collapsed="false">
      <c r="A151" s="34" t="str">
        <f aca="false">IF($H151="","",ROW()-1)</f>
        <v/>
      </c>
      <c r="B151" s="35"/>
      <c r="C151" s="35"/>
      <c r="D151" s="34"/>
      <c r="E151" s="34"/>
      <c r="F151" s="35"/>
      <c r="G151" s="36"/>
      <c r="H151" s="37"/>
      <c r="I151" s="37"/>
      <c r="J151" s="37"/>
      <c r="K151" s="37"/>
      <c r="L151" s="38" t="str">
        <f aca="false">IFERROR(VLOOKUP($C151,Settings!$A$9:$C$28,2,FALSE()),"")</f>
        <v/>
      </c>
      <c r="M151" s="39" t="str">
        <f aca="false">IFERROR(VLOOKUP($C151,Settings!$A$9:$C$28,3,FALSE()),"")</f>
        <v/>
      </c>
      <c r="N151" s="40" t="str">
        <f aca="false">IF(OR($H151="",$I151=""),"",IFERROR(ABS(H151-I151)/L151,""))</f>
        <v/>
      </c>
      <c r="O151" s="40" t="str">
        <f aca="false">IF(OR($H151="",$J151=""),"",IFERROR(ABS(J151-H151)/L151,""))</f>
        <v/>
      </c>
      <c r="P151" s="41" t="str">
        <f aca="false">IF(OR(N151="",O151="",N151=0),"",O151/N151)</f>
        <v/>
      </c>
      <c r="Q151" s="40" t="str">
        <f aca="false">IF(OR($H151="",$K151=""),"",IFERROR(((K151-H151)/L151)*IF($D151="Buy",1,-1),""))</f>
        <v/>
      </c>
      <c r="R151" s="42" t="str">
        <f aca="false">IF(OR(N151="",$G151=""),"",IFERROR(N151*M151*G151,""))</f>
        <v/>
      </c>
      <c r="S151" s="42" t="str">
        <f aca="false">IF(OR(Q151="",$G151=""),"",IFERROR(Q151*M151*G151,""))</f>
        <v/>
      </c>
      <c r="T151" s="41" t="str">
        <f aca="false">IF(OR(S151="",R151="",R151=0),"",S151/R151)</f>
        <v/>
      </c>
      <c r="U151" s="43" t="str">
        <f aca="false">IF(S151="","",IF(S151&gt;0,"Win",IF(S151&lt;0,"Loss","BE")))</f>
        <v/>
      </c>
      <c r="V151" s="44" t="str">
        <f aca="false">IF(OR($H151="",R151=""),"",IFERROR(R151/(W151-S151),""))</f>
        <v/>
      </c>
      <c r="W151" s="45" t="str">
        <f aca="false">IF($H151="","",Settings!$B$3+SUM($S$2:S151))</f>
        <v/>
      </c>
      <c r="X151" s="45" t="str">
        <f aca="false">IF($H151="","",MAX(Settings!$B$3,MAX($W$2:W151)))</f>
        <v/>
      </c>
      <c r="Y151" s="44" t="str">
        <f aca="false">IF(OR($H151="",X151=""),"",IFERROR((W151-X151)/X151,""))</f>
        <v/>
      </c>
      <c r="Z151" s="35"/>
    </row>
    <row r="152" customFormat="false" ht="15" hidden="false" customHeight="true" outlineLevel="0" collapsed="false">
      <c r="A152" s="34" t="str">
        <f aca="false">IF($H152="","",ROW()-1)</f>
        <v/>
      </c>
      <c r="B152" s="35"/>
      <c r="C152" s="35"/>
      <c r="D152" s="34"/>
      <c r="E152" s="34"/>
      <c r="F152" s="35"/>
      <c r="G152" s="36"/>
      <c r="H152" s="37"/>
      <c r="I152" s="37"/>
      <c r="J152" s="37"/>
      <c r="K152" s="37"/>
      <c r="L152" s="38" t="str">
        <f aca="false">IFERROR(VLOOKUP($C152,Settings!$A$9:$C$28,2,FALSE()),"")</f>
        <v/>
      </c>
      <c r="M152" s="39" t="str">
        <f aca="false">IFERROR(VLOOKUP($C152,Settings!$A$9:$C$28,3,FALSE()),"")</f>
        <v/>
      </c>
      <c r="N152" s="40" t="str">
        <f aca="false">IF(OR($H152="",$I152=""),"",IFERROR(ABS(H152-I152)/L152,""))</f>
        <v/>
      </c>
      <c r="O152" s="40" t="str">
        <f aca="false">IF(OR($H152="",$J152=""),"",IFERROR(ABS(J152-H152)/L152,""))</f>
        <v/>
      </c>
      <c r="P152" s="41" t="str">
        <f aca="false">IF(OR(N152="",O152="",N152=0),"",O152/N152)</f>
        <v/>
      </c>
      <c r="Q152" s="40" t="str">
        <f aca="false">IF(OR($H152="",$K152=""),"",IFERROR(((K152-H152)/L152)*IF($D152="Buy",1,-1),""))</f>
        <v/>
      </c>
      <c r="R152" s="42" t="str">
        <f aca="false">IF(OR(N152="",$G152=""),"",IFERROR(N152*M152*G152,""))</f>
        <v/>
      </c>
      <c r="S152" s="42" t="str">
        <f aca="false">IF(OR(Q152="",$G152=""),"",IFERROR(Q152*M152*G152,""))</f>
        <v/>
      </c>
      <c r="T152" s="41" t="str">
        <f aca="false">IF(OR(S152="",R152="",R152=0),"",S152/R152)</f>
        <v/>
      </c>
      <c r="U152" s="43" t="str">
        <f aca="false">IF(S152="","",IF(S152&gt;0,"Win",IF(S152&lt;0,"Loss","BE")))</f>
        <v/>
      </c>
      <c r="V152" s="44" t="str">
        <f aca="false">IF(OR($H152="",R152=""),"",IFERROR(R152/(W152-S152),""))</f>
        <v/>
      </c>
      <c r="W152" s="45" t="str">
        <f aca="false">IF($H152="","",Settings!$B$3+SUM($S$2:S152))</f>
        <v/>
      </c>
      <c r="X152" s="45" t="str">
        <f aca="false">IF($H152="","",MAX(Settings!$B$3,MAX($W$2:W152)))</f>
        <v/>
      </c>
      <c r="Y152" s="44" t="str">
        <f aca="false">IF(OR($H152="",X152=""),"",IFERROR((W152-X152)/X152,""))</f>
        <v/>
      </c>
      <c r="Z152" s="35"/>
    </row>
    <row r="153" customFormat="false" ht="15" hidden="false" customHeight="true" outlineLevel="0" collapsed="false">
      <c r="A153" s="34" t="str">
        <f aca="false">IF($H153="","",ROW()-1)</f>
        <v/>
      </c>
      <c r="B153" s="35"/>
      <c r="C153" s="35"/>
      <c r="D153" s="34"/>
      <c r="E153" s="34"/>
      <c r="F153" s="35"/>
      <c r="G153" s="36"/>
      <c r="H153" s="37"/>
      <c r="I153" s="37"/>
      <c r="J153" s="37"/>
      <c r="K153" s="37"/>
      <c r="L153" s="38" t="str">
        <f aca="false">IFERROR(VLOOKUP($C153,Settings!$A$9:$C$28,2,FALSE()),"")</f>
        <v/>
      </c>
      <c r="M153" s="39" t="str">
        <f aca="false">IFERROR(VLOOKUP($C153,Settings!$A$9:$C$28,3,FALSE()),"")</f>
        <v/>
      </c>
      <c r="N153" s="40" t="str">
        <f aca="false">IF(OR($H153="",$I153=""),"",IFERROR(ABS(H153-I153)/L153,""))</f>
        <v/>
      </c>
      <c r="O153" s="40" t="str">
        <f aca="false">IF(OR($H153="",$J153=""),"",IFERROR(ABS(J153-H153)/L153,""))</f>
        <v/>
      </c>
      <c r="P153" s="41" t="str">
        <f aca="false">IF(OR(N153="",O153="",N153=0),"",O153/N153)</f>
        <v/>
      </c>
      <c r="Q153" s="40" t="str">
        <f aca="false">IF(OR($H153="",$K153=""),"",IFERROR(((K153-H153)/L153)*IF($D153="Buy",1,-1),""))</f>
        <v/>
      </c>
      <c r="R153" s="42" t="str">
        <f aca="false">IF(OR(N153="",$G153=""),"",IFERROR(N153*M153*G153,""))</f>
        <v/>
      </c>
      <c r="S153" s="42" t="str">
        <f aca="false">IF(OR(Q153="",$G153=""),"",IFERROR(Q153*M153*G153,""))</f>
        <v/>
      </c>
      <c r="T153" s="41" t="str">
        <f aca="false">IF(OR(S153="",R153="",R153=0),"",S153/R153)</f>
        <v/>
      </c>
      <c r="U153" s="43" t="str">
        <f aca="false">IF(S153="","",IF(S153&gt;0,"Win",IF(S153&lt;0,"Loss","BE")))</f>
        <v/>
      </c>
      <c r="V153" s="44" t="str">
        <f aca="false">IF(OR($H153="",R153=""),"",IFERROR(R153/(W153-S153),""))</f>
        <v/>
      </c>
      <c r="W153" s="45" t="str">
        <f aca="false">IF($H153="","",Settings!$B$3+SUM($S$2:S153))</f>
        <v/>
      </c>
      <c r="X153" s="45" t="str">
        <f aca="false">IF($H153="","",MAX(Settings!$B$3,MAX($W$2:W153)))</f>
        <v/>
      </c>
      <c r="Y153" s="44" t="str">
        <f aca="false">IF(OR($H153="",X153=""),"",IFERROR((W153-X153)/X153,""))</f>
        <v/>
      </c>
      <c r="Z153" s="35"/>
    </row>
    <row r="154" customFormat="false" ht="15" hidden="false" customHeight="true" outlineLevel="0" collapsed="false">
      <c r="A154" s="34" t="str">
        <f aca="false">IF($H154="","",ROW()-1)</f>
        <v/>
      </c>
      <c r="B154" s="35"/>
      <c r="C154" s="35"/>
      <c r="D154" s="34"/>
      <c r="E154" s="34"/>
      <c r="F154" s="35"/>
      <c r="G154" s="36"/>
      <c r="H154" s="37"/>
      <c r="I154" s="37"/>
      <c r="J154" s="37"/>
      <c r="K154" s="37"/>
      <c r="L154" s="38" t="str">
        <f aca="false">IFERROR(VLOOKUP($C154,Settings!$A$9:$C$28,2,FALSE()),"")</f>
        <v/>
      </c>
      <c r="M154" s="39" t="str">
        <f aca="false">IFERROR(VLOOKUP($C154,Settings!$A$9:$C$28,3,FALSE()),"")</f>
        <v/>
      </c>
      <c r="N154" s="40" t="str">
        <f aca="false">IF(OR($H154="",$I154=""),"",IFERROR(ABS(H154-I154)/L154,""))</f>
        <v/>
      </c>
      <c r="O154" s="40" t="str">
        <f aca="false">IF(OR($H154="",$J154=""),"",IFERROR(ABS(J154-H154)/L154,""))</f>
        <v/>
      </c>
      <c r="P154" s="41" t="str">
        <f aca="false">IF(OR(N154="",O154="",N154=0),"",O154/N154)</f>
        <v/>
      </c>
      <c r="Q154" s="40" t="str">
        <f aca="false">IF(OR($H154="",$K154=""),"",IFERROR(((K154-H154)/L154)*IF($D154="Buy",1,-1),""))</f>
        <v/>
      </c>
      <c r="R154" s="42" t="str">
        <f aca="false">IF(OR(N154="",$G154=""),"",IFERROR(N154*M154*G154,""))</f>
        <v/>
      </c>
      <c r="S154" s="42" t="str">
        <f aca="false">IF(OR(Q154="",$G154=""),"",IFERROR(Q154*M154*G154,""))</f>
        <v/>
      </c>
      <c r="T154" s="41" t="str">
        <f aca="false">IF(OR(S154="",R154="",R154=0),"",S154/R154)</f>
        <v/>
      </c>
      <c r="U154" s="43" t="str">
        <f aca="false">IF(S154="","",IF(S154&gt;0,"Win",IF(S154&lt;0,"Loss","BE")))</f>
        <v/>
      </c>
      <c r="V154" s="44" t="str">
        <f aca="false">IF(OR($H154="",R154=""),"",IFERROR(R154/(W154-S154),""))</f>
        <v/>
      </c>
      <c r="W154" s="45" t="str">
        <f aca="false">IF($H154="","",Settings!$B$3+SUM($S$2:S154))</f>
        <v/>
      </c>
      <c r="X154" s="45" t="str">
        <f aca="false">IF($H154="","",MAX(Settings!$B$3,MAX($W$2:W154)))</f>
        <v/>
      </c>
      <c r="Y154" s="44" t="str">
        <f aca="false">IF(OR($H154="",X154=""),"",IFERROR((W154-X154)/X154,""))</f>
        <v/>
      </c>
      <c r="Z154" s="35"/>
    </row>
    <row r="155" customFormat="false" ht="15" hidden="false" customHeight="true" outlineLevel="0" collapsed="false">
      <c r="A155" s="34" t="str">
        <f aca="false">IF($H155="","",ROW()-1)</f>
        <v/>
      </c>
      <c r="B155" s="35"/>
      <c r="C155" s="35"/>
      <c r="D155" s="34"/>
      <c r="E155" s="34"/>
      <c r="F155" s="35"/>
      <c r="G155" s="36"/>
      <c r="H155" s="37"/>
      <c r="I155" s="37"/>
      <c r="J155" s="37"/>
      <c r="K155" s="37"/>
      <c r="L155" s="38" t="str">
        <f aca="false">IFERROR(VLOOKUP($C155,Settings!$A$9:$C$28,2,FALSE()),"")</f>
        <v/>
      </c>
      <c r="M155" s="39" t="str">
        <f aca="false">IFERROR(VLOOKUP($C155,Settings!$A$9:$C$28,3,FALSE()),"")</f>
        <v/>
      </c>
      <c r="N155" s="40" t="str">
        <f aca="false">IF(OR($H155="",$I155=""),"",IFERROR(ABS(H155-I155)/L155,""))</f>
        <v/>
      </c>
      <c r="O155" s="40" t="str">
        <f aca="false">IF(OR($H155="",$J155=""),"",IFERROR(ABS(J155-H155)/L155,""))</f>
        <v/>
      </c>
      <c r="P155" s="41" t="str">
        <f aca="false">IF(OR(N155="",O155="",N155=0),"",O155/N155)</f>
        <v/>
      </c>
      <c r="Q155" s="40" t="str">
        <f aca="false">IF(OR($H155="",$K155=""),"",IFERROR(((K155-H155)/L155)*IF($D155="Buy",1,-1),""))</f>
        <v/>
      </c>
      <c r="R155" s="42" t="str">
        <f aca="false">IF(OR(N155="",$G155=""),"",IFERROR(N155*M155*G155,""))</f>
        <v/>
      </c>
      <c r="S155" s="42" t="str">
        <f aca="false">IF(OR(Q155="",$G155=""),"",IFERROR(Q155*M155*G155,""))</f>
        <v/>
      </c>
      <c r="T155" s="41" t="str">
        <f aca="false">IF(OR(S155="",R155="",R155=0),"",S155/R155)</f>
        <v/>
      </c>
      <c r="U155" s="43" t="str">
        <f aca="false">IF(S155="","",IF(S155&gt;0,"Win",IF(S155&lt;0,"Loss","BE")))</f>
        <v/>
      </c>
      <c r="V155" s="44" t="str">
        <f aca="false">IF(OR($H155="",R155=""),"",IFERROR(R155/(W155-S155),""))</f>
        <v/>
      </c>
      <c r="W155" s="45" t="str">
        <f aca="false">IF($H155="","",Settings!$B$3+SUM($S$2:S155))</f>
        <v/>
      </c>
      <c r="X155" s="45" t="str">
        <f aca="false">IF($H155="","",MAX(Settings!$B$3,MAX($W$2:W155)))</f>
        <v/>
      </c>
      <c r="Y155" s="44" t="str">
        <f aca="false">IF(OR($H155="",X155=""),"",IFERROR((W155-X155)/X155,""))</f>
        <v/>
      </c>
      <c r="Z155" s="35"/>
    </row>
    <row r="156" customFormat="false" ht="15" hidden="false" customHeight="true" outlineLevel="0" collapsed="false">
      <c r="A156" s="34" t="str">
        <f aca="false">IF($H156="","",ROW()-1)</f>
        <v/>
      </c>
      <c r="B156" s="35"/>
      <c r="C156" s="35"/>
      <c r="D156" s="34"/>
      <c r="E156" s="34"/>
      <c r="F156" s="35"/>
      <c r="G156" s="36"/>
      <c r="H156" s="37"/>
      <c r="I156" s="37"/>
      <c r="J156" s="37"/>
      <c r="K156" s="37"/>
      <c r="L156" s="38" t="str">
        <f aca="false">IFERROR(VLOOKUP($C156,Settings!$A$9:$C$28,2,FALSE()),"")</f>
        <v/>
      </c>
      <c r="M156" s="39" t="str">
        <f aca="false">IFERROR(VLOOKUP($C156,Settings!$A$9:$C$28,3,FALSE()),"")</f>
        <v/>
      </c>
      <c r="N156" s="40" t="str">
        <f aca="false">IF(OR($H156="",$I156=""),"",IFERROR(ABS(H156-I156)/L156,""))</f>
        <v/>
      </c>
      <c r="O156" s="40" t="str">
        <f aca="false">IF(OR($H156="",$J156=""),"",IFERROR(ABS(J156-H156)/L156,""))</f>
        <v/>
      </c>
      <c r="P156" s="41" t="str">
        <f aca="false">IF(OR(N156="",O156="",N156=0),"",O156/N156)</f>
        <v/>
      </c>
      <c r="Q156" s="40" t="str">
        <f aca="false">IF(OR($H156="",$K156=""),"",IFERROR(((K156-H156)/L156)*IF($D156="Buy",1,-1),""))</f>
        <v/>
      </c>
      <c r="R156" s="42" t="str">
        <f aca="false">IF(OR(N156="",$G156=""),"",IFERROR(N156*M156*G156,""))</f>
        <v/>
      </c>
      <c r="S156" s="42" t="str">
        <f aca="false">IF(OR(Q156="",$G156=""),"",IFERROR(Q156*M156*G156,""))</f>
        <v/>
      </c>
      <c r="T156" s="41" t="str">
        <f aca="false">IF(OR(S156="",R156="",R156=0),"",S156/R156)</f>
        <v/>
      </c>
      <c r="U156" s="43" t="str">
        <f aca="false">IF(S156="","",IF(S156&gt;0,"Win",IF(S156&lt;0,"Loss","BE")))</f>
        <v/>
      </c>
      <c r="V156" s="44" t="str">
        <f aca="false">IF(OR($H156="",R156=""),"",IFERROR(R156/(W156-S156),""))</f>
        <v/>
      </c>
      <c r="W156" s="45" t="str">
        <f aca="false">IF($H156="","",Settings!$B$3+SUM($S$2:S156))</f>
        <v/>
      </c>
      <c r="X156" s="45" t="str">
        <f aca="false">IF($H156="","",MAX(Settings!$B$3,MAX($W$2:W156)))</f>
        <v/>
      </c>
      <c r="Y156" s="44" t="str">
        <f aca="false">IF(OR($H156="",X156=""),"",IFERROR((W156-X156)/X156,""))</f>
        <v/>
      </c>
      <c r="Z156" s="35"/>
    </row>
    <row r="157" customFormat="false" ht="15" hidden="false" customHeight="true" outlineLevel="0" collapsed="false">
      <c r="A157" s="34" t="str">
        <f aca="false">IF($H157="","",ROW()-1)</f>
        <v/>
      </c>
      <c r="B157" s="35"/>
      <c r="C157" s="35"/>
      <c r="D157" s="34"/>
      <c r="E157" s="34"/>
      <c r="F157" s="35"/>
      <c r="G157" s="36"/>
      <c r="H157" s="37"/>
      <c r="I157" s="37"/>
      <c r="J157" s="37"/>
      <c r="K157" s="37"/>
      <c r="L157" s="38" t="str">
        <f aca="false">IFERROR(VLOOKUP($C157,Settings!$A$9:$C$28,2,FALSE()),"")</f>
        <v/>
      </c>
      <c r="M157" s="39" t="str">
        <f aca="false">IFERROR(VLOOKUP($C157,Settings!$A$9:$C$28,3,FALSE()),"")</f>
        <v/>
      </c>
      <c r="N157" s="40" t="str">
        <f aca="false">IF(OR($H157="",$I157=""),"",IFERROR(ABS(H157-I157)/L157,""))</f>
        <v/>
      </c>
      <c r="O157" s="40" t="str">
        <f aca="false">IF(OR($H157="",$J157=""),"",IFERROR(ABS(J157-H157)/L157,""))</f>
        <v/>
      </c>
      <c r="P157" s="41" t="str">
        <f aca="false">IF(OR(N157="",O157="",N157=0),"",O157/N157)</f>
        <v/>
      </c>
      <c r="Q157" s="40" t="str">
        <f aca="false">IF(OR($H157="",$K157=""),"",IFERROR(((K157-H157)/L157)*IF($D157="Buy",1,-1),""))</f>
        <v/>
      </c>
      <c r="R157" s="42" t="str">
        <f aca="false">IF(OR(N157="",$G157=""),"",IFERROR(N157*M157*G157,""))</f>
        <v/>
      </c>
      <c r="S157" s="42" t="str">
        <f aca="false">IF(OR(Q157="",$G157=""),"",IFERROR(Q157*M157*G157,""))</f>
        <v/>
      </c>
      <c r="T157" s="41" t="str">
        <f aca="false">IF(OR(S157="",R157="",R157=0),"",S157/R157)</f>
        <v/>
      </c>
      <c r="U157" s="43" t="str">
        <f aca="false">IF(S157="","",IF(S157&gt;0,"Win",IF(S157&lt;0,"Loss","BE")))</f>
        <v/>
      </c>
      <c r="V157" s="44" t="str">
        <f aca="false">IF(OR($H157="",R157=""),"",IFERROR(R157/(W157-S157),""))</f>
        <v/>
      </c>
      <c r="W157" s="45" t="str">
        <f aca="false">IF($H157="","",Settings!$B$3+SUM($S$2:S157))</f>
        <v/>
      </c>
      <c r="X157" s="45" t="str">
        <f aca="false">IF($H157="","",MAX(Settings!$B$3,MAX($W$2:W157)))</f>
        <v/>
      </c>
      <c r="Y157" s="44" t="str">
        <f aca="false">IF(OR($H157="",X157=""),"",IFERROR((W157-X157)/X157,""))</f>
        <v/>
      </c>
      <c r="Z157" s="35"/>
    </row>
    <row r="158" customFormat="false" ht="15" hidden="false" customHeight="true" outlineLevel="0" collapsed="false">
      <c r="A158" s="34" t="str">
        <f aca="false">IF($H158="","",ROW()-1)</f>
        <v/>
      </c>
      <c r="B158" s="35"/>
      <c r="C158" s="35"/>
      <c r="D158" s="34"/>
      <c r="E158" s="34"/>
      <c r="F158" s="35"/>
      <c r="G158" s="36"/>
      <c r="H158" s="37"/>
      <c r="I158" s="37"/>
      <c r="J158" s="37"/>
      <c r="K158" s="37"/>
      <c r="L158" s="38" t="str">
        <f aca="false">IFERROR(VLOOKUP($C158,Settings!$A$9:$C$28,2,FALSE()),"")</f>
        <v/>
      </c>
      <c r="M158" s="39" t="str">
        <f aca="false">IFERROR(VLOOKUP($C158,Settings!$A$9:$C$28,3,FALSE()),"")</f>
        <v/>
      </c>
      <c r="N158" s="40" t="str">
        <f aca="false">IF(OR($H158="",$I158=""),"",IFERROR(ABS(H158-I158)/L158,""))</f>
        <v/>
      </c>
      <c r="O158" s="40" t="str">
        <f aca="false">IF(OR($H158="",$J158=""),"",IFERROR(ABS(J158-H158)/L158,""))</f>
        <v/>
      </c>
      <c r="P158" s="41" t="str">
        <f aca="false">IF(OR(N158="",O158="",N158=0),"",O158/N158)</f>
        <v/>
      </c>
      <c r="Q158" s="40" t="str">
        <f aca="false">IF(OR($H158="",$K158=""),"",IFERROR(((K158-H158)/L158)*IF($D158="Buy",1,-1),""))</f>
        <v/>
      </c>
      <c r="R158" s="42" t="str">
        <f aca="false">IF(OR(N158="",$G158=""),"",IFERROR(N158*M158*G158,""))</f>
        <v/>
      </c>
      <c r="S158" s="42" t="str">
        <f aca="false">IF(OR(Q158="",$G158=""),"",IFERROR(Q158*M158*G158,""))</f>
        <v/>
      </c>
      <c r="T158" s="41" t="str">
        <f aca="false">IF(OR(S158="",R158="",R158=0),"",S158/R158)</f>
        <v/>
      </c>
      <c r="U158" s="43" t="str">
        <f aca="false">IF(S158="","",IF(S158&gt;0,"Win",IF(S158&lt;0,"Loss","BE")))</f>
        <v/>
      </c>
      <c r="V158" s="44" t="str">
        <f aca="false">IF(OR($H158="",R158=""),"",IFERROR(R158/(W158-S158),""))</f>
        <v/>
      </c>
      <c r="W158" s="45" t="str">
        <f aca="false">IF($H158="","",Settings!$B$3+SUM($S$2:S158))</f>
        <v/>
      </c>
      <c r="X158" s="45" t="str">
        <f aca="false">IF($H158="","",MAX(Settings!$B$3,MAX($W$2:W158)))</f>
        <v/>
      </c>
      <c r="Y158" s="44" t="str">
        <f aca="false">IF(OR($H158="",X158=""),"",IFERROR((W158-X158)/X158,""))</f>
        <v/>
      </c>
      <c r="Z158" s="35"/>
    </row>
    <row r="159" customFormat="false" ht="15" hidden="false" customHeight="true" outlineLevel="0" collapsed="false">
      <c r="A159" s="34" t="str">
        <f aca="false">IF($H159="","",ROW()-1)</f>
        <v/>
      </c>
      <c r="B159" s="35"/>
      <c r="C159" s="35"/>
      <c r="D159" s="34"/>
      <c r="E159" s="34"/>
      <c r="F159" s="35"/>
      <c r="G159" s="36"/>
      <c r="H159" s="37"/>
      <c r="I159" s="37"/>
      <c r="J159" s="37"/>
      <c r="K159" s="37"/>
      <c r="L159" s="38" t="str">
        <f aca="false">IFERROR(VLOOKUP($C159,Settings!$A$9:$C$28,2,FALSE()),"")</f>
        <v/>
      </c>
      <c r="M159" s="39" t="str">
        <f aca="false">IFERROR(VLOOKUP($C159,Settings!$A$9:$C$28,3,FALSE()),"")</f>
        <v/>
      </c>
      <c r="N159" s="40" t="str">
        <f aca="false">IF(OR($H159="",$I159=""),"",IFERROR(ABS(H159-I159)/L159,""))</f>
        <v/>
      </c>
      <c r="O159" s="40" t="str">
        <f aca="false">IF(OR($H159="",$J159=""),"",IFERROR(ABS(J159-H159)/L159,""))</f>
        <v/>
      </c>
      <c r="P159" s="41" t="str">
        <f aca="false">IF(OR(N159="",O159="",N159=0),"",O159/N159)</f>
        <v/>
      </c>
      <c r="Q159" s="40" t="str">
        <f aca="false">IF(OR($H159="",$K159=""),"",IFERROR(((K159-H159)/L159)*IF($D159="Buy",1,-1),""))</f>
        <v/>
      </c>
      <c r="R159" s="42" t="str">
        <f aca="false">IF(OR(N159="",$G159=""),"",IFERROR(N159*M159*G159,""))</f>
        <v/>
      </c>
      <c r="S159" s="42" t="str">
        <f aca="false">IF(OR(Q159="",$G159=""),"",IFERROR(Q159*M159*G159,""))</f>
        <v/>
      </c>
      <c r="T159" s="41" t="str">
        <f aca="false">IF(OR(S159="",R159="",R159=0),"",S159/R159)</f>
        <v/>
      </c>
      <c r="U159" s="43" t="str">
        <f aca="false">IF(S159="","",IF(S159&gt;0,"Win",IF(S159&lt;0,"Loss","BE")))</f>
        <v/>
      </c>
      <c r="V159" s="44" t="str">
        <f aca="false">IF(OR($H159="",R159=""),"",IFERROR(R159/(W159-S159),""))</f>
        <v/>
      </c>
      <c r="W159" s="45" t="str">
        <f aca="false">IF($H159="","",Settings!$B$3+SUM($S$2:S159))</f>
        <v/>
      </c>
      <c r="X159" s="45" t="str">
        <f aca="false">IF($H159="","",MAX(Settings!$B$3,MAX($W$2:W159)))</f>
        <v/>
      </c>
      <c r="Y159" s="44" t="str">
        <f aca="false">IF(OR($H159="",X159=""),"",IFERROR((W159-X159)/X159,""))</f>
        <v/>
      </c>
      <c r="Z159" s="35"/>
    </row>
    <row r="160" customFormat="false" ht="15" hidden="false" customHeight="true" outlineLevel="0" collapsed="false">
      <c r="A160" s="34" t="str">
        <f aca="false">IF($H160="","",ROW()-1)</f>
        <v/>
      </c>
      <c r="B160" s="35"/>
      <c r="C160" s="35"/>
      <c r="D160" s="34"/>
      <c r="E160" s="34"/>
      <c r="F160" s="35"/>
      <c r="G160" s="36"/>
      <c r="H160" s="37"/>
      <c r="I160" s="37"/>
      <c r="J160" s="37"/>
      <c r="K160" s="37"/>
      <c r="L160" s="38" t="str">
        <f aca="false">IFERROR(VLOOKUP($C160,Settings!$A$9:$C$28,2,FALSE()),"")</f>
        <v/>
      </c>
      <c r="M160" s="39" t="str">
        <f aca="false">IFERROR(VLOOKUP($C160,Settings!$A$9:$C$28,3,FALSE()),"")</f>
        <v/>
      </c>
      <c r="N160" s="40" t="str">
        <f aca="false">IF(OR($H160="",$I160=""),"",IFERROR(ABS(H160-I160)/L160,""))</f>
        <v/>
      </c>
      <c r="O160" s="40" t="str">
        <f aca="false">IF(OR($H160="",$J160=""),"",IFERROR(ABS(J160-H160)/L160,""))</f>
        <v/>
      </c>
      <c r="P160" s="41" t="str">
        <f aca="false">IF(OR(N160="",O160="",N160=0),"",O160/N160)</f>
        <v/>
      </c>
      <c r="Q160" s="40" t="str">
        <f aca="false">IF(OR($H160="",$K160=""),"",IFERROR(((K160-H160)/L160)*IF($D160="Buy",1,-1),""))</f>
        <v/>
      </c>
      <c r="R160" s="42" t="str">
        <f aca="false">IF(OR(N160="",$G160=""),"",IFERROR(N160*M160*G160,""))</f>
        <v/>
      </c>
      <c r="S160" s="42" t="str">
        <f aca="false">IF(OR(Q160="",$G160=""),"",IFERROR(Q160*M160*G160,""))</f>
        <v/>
      </c>
      <c r="T160" s="41" t="str">
        <f aca="false">IF(OR(S160="",R160="",R160=0),"",S160/R160)</f>
        <v/>
      </c>
      <c r="U160" s="43" t="str">
        <f aca="false">IF(S160="","",IF(S160&gt;0,"Win",IF(S160&lt;0,"Loss","BE")))</f>
        <v/>
      </c>
      <c r="V160" s="44" t="str">
        <f aca="false">IF(OR($H160="",R160=""),"",IFERROR(R160/(W160-S160),""))</f>
        <v/>
      </c>
      <c r="W160" s="45" t="str">
        <f aca="false">IF($H160="","",Settings!$B$3+SUM($S$2:S160))</f>
        <v/>
      </c>
      <c r="X160" s="45" t="str">
        <f aca="false">IF($H160="","",MAX(Settings!$B$3,MAX($W$2:W160)))</f>
        <v/>
      </c>
      <c r="Y160" s="44" t="str">
        <f aca="false">IF(OR($H160="",X160=""),"",IFERROR((W160-X160)/X160,""))</f>
        <v/>
      </c>
      <c r="Z160" s="35"/>
    </row>
    <row r="161" customFormat="false" ht="15" hidden="false" customHeight="true" outlineLevel="0" collapsed="false">
      <c r="A161" s="34" t="str">
        <f aca="false">IF($H161="","",ROW()-1)</f>
        <v/>
      </c>
      <c r="B161" s="35"/>
      <c r="C161" s="35"/>
      <c r="D161" s="34"/>
      <c r="E161" s="34"/>
      <c r="F161" s="35"/>
      <c r="G161" s="36"/>
      <c r="H161" s="37"/>
      <c r="I161" s="37"/>
      <c r="J161" s="37"/>
      <c r="K161" s="37"/>
      <c r="L161" s="38" t="str">
        <f aca="false">IFERROR(VLOOKUP($C161,Settings!$A$9:$C$28,2,FALSE()),"")</f>
        <v/>
      </c>
      <c r="M161" s="39" t="str">
        <f aca="false">IFERROR(VLOOKUP($C161,Settings!$A$9:$C$28,3,FALSE()),"")</f>
        <v/>
      </c>
      <c r="N161" s="40" t="str">
        <f aca="false">IF(OR($H161="",$I161=""),"",IFERROR(ABS(H161-I161)/L161,""))</f>
        <v/>
      </c>
      <c r="O161" s="40" t="str">
        <f aca="false">IF(OR($H161="",$J161=""),"",IFERROR(ABS(J161-H161)/L161,""))</f>
        <v/>
      </c>
      <c r="P161" s="41" t="str">
        <f aca="false">IF(OR(N161="",O161="",N161=0),"",O161/N161)</f>
        <v/>
      </c>
      <c r="Q161" s="40" t="str">
        <f aca="false">IF(OR($H161="",$K161=""),"",IFERROR(((K161-H161)/L161)*IF($D161="Buy",1,-1),""))</f>
        <v/>
      </c>
      <c r="R161" s="42" t="str">
        <f aca="false">IF(OR(N161="",$G161=""),"",IFERROR(N161*M161*G161,""))</f>
        <v/>
      </c>
      <c r="S161" s="42" t="str">
        <f aca="false">IF(OR(Q161="",$G161=""),"",IFERROR(Q161*M161*G161,""))</f>
        <v/>
      </c>
      <c r="T161" s="41" t="str">
        <f aca="false">IF(OR(S161="",R161="",R161=0),"",S161/R161)</f>
        <v/>
      </c>
      <c r="U161" s="43" t="str">
        <f aca="false">IF(S161="","",IF(S161&gt;0,"Win",IF(S161&lt;0,"Loss","BE")))</f>
        <v/>
      </c>
      <c r="V161" s="44" t="str">
        <f aca="false">IF(OR($H161="",R161=""),"",IFERROR(R161/(W161-S161),""))</f>
        <v/>
      </c>
      <c r="W161" s="45" t="str">
        <f aca="false">IF($H161="","",Settings!$B$3+SUM($S$2:S161))</f>
        <v/>
      </c>
      <c r="X161" s="45" t="str">
        <f aca="false">IF($H161="","",MAX(Settings!$B$3,MAX($W$2:W161)))</f>
        <v/>
      </c>
      <c r="Y161" s="44" t="str">
        <f aca="false">IF(OR($H161="",X161=""),"",IFERROR((W161-X161)/X161,""))</f>
        <v/>
      </c>
      <c r="Z161" s="35"/>
    </row>
    <row r="162" customFormat="false" ht="15" hidden="false" customHeight="true" outlineLevel="0" collapsed="false">
      <c r="A162" s="34" t="str">
        <f aca="false">IF($H162="","",ROW()-1)</f>
        <v/>
      </c>
      <c r="B162" s="35"/>
      <c r="C162" s="35"/>
      <c r="D162" s="34"/>
      <c r="E162" s="34"/>
      <c r="F162" s="35"/>
      <c r="G162" s="36"/>
      <c r="H162" s="37"/>
      <c r="I162" s="37"/>
      <c r="J162" s="37"/>
      <c r="K162" s="37"/>
      <c r="L162" s="38" t="str">
        <f aca="false">IFERROR(VLOOKUP($C162,Settings!$A$9:$C$28,2,FALSE()),"")</f>
        <v/>
      </c>
      <c r="M162" s="39" t="str">
        <f aca="false">IFERROR(VLOOKUP($C162,Settings!$A$9:$C$28,3,FALSE()),"")</f>
        <v/>
      </c>
      <c r="N162" s="40" t="str">
        <f aca="false">IF(OR($H162="",$I162=""),"",IFERROR(ABS(H162-I162)/L162,""))</f>
        <v/>
      </c>
      <c r="O162" s="40" t="str">
        <f aca="false">IF(OR($H162="",$J162=""),"",IFERROR(ABS(J162-H162)/L162,""))</f>
        <v/>
      </c>
      <c r="P162" s="41" t="str">
        <f aca="false">IF(OR(N162="",O162="",N162=0),"",O162/N162)</f>
        <v/>
      </c>
      <c r="Q162" s="40" t="str">
        <f aca="false">IF(OR($H162="",$K162=""),"",IFERROR(((K162-H162)/L162)*IF($D162="Buy",1,-1),""))</f>
        <v/>
      </c>
      <c r="R162" s="42" t="str">
        <f aca="false">IF(OR(N162="",$G162=""),"",IFERROR(N162*M162*G162,""))</f>
        <v/>
      </c>
      <c r="S162" s="42" t="str">
        <f aca="false">IF(OR(Q162="",$G162=""),"",IFERROR(Q162*M162*G162,""))</f>
        <v/>
      </c>
      <c r="T162" s="41" t="str">
        <f aca="false">IF(OR(S162="",R162="",R162=0),"",S162/R162)</f>
        <v/>
      </c>
      <c r="U162" s="43" t="str">
        <f aca="false">IF(S162="","",IF(S162&gt;0,"Win",IF(S162&lt;0,"Loss","BE")))</f>
        <v/>
      </c>
      <c r="V162" s="44" t="str">
        <f aca="false">IF(OR($H162="",R162=""),"",IFERROR(R162/(W162-S162),""))</f>
        <v/>
      </c>
      <c r="W162" s="45" t="str">
        <f aca="false">IF($H162="","",Settings!$B$3+SUM($S$2:S162))</f>
        <v/>
      </c>
      <c r="X162" s="45" t="str">
        <f aca="false">IF($H162="","",MAX(Settings!$B$3,MAX($W$2:W162)))</f>
        <v/>
      </c>
      <c r="Y162" s="44" t="str">
        <f aca="false">IF(OR($H162="",X162=""),"",IFERROR((W162-X162)/X162,""))</f>
        <v/>
      </c>
      <c r="Z162" s="35"/>
    </row>
    <row r="163" customFormat="false" ht="15" hidden="false" customHeight="true" outlineLevel="0" collapsed="false">
      <c r="A163" s="34" t="str">
        <f aca="false">IF($H163="","",ROW()-1)</f>
        <v/>
      </c>
      <c r="B163" s="35"/>
      <c r="C163" s="35"/>
      <c r="D163" s="34"/>
      <c r="E163" s="34"/>
      <c r="F163" s="35"/>
      <c r="G163" s="36"/>
      <c r="H163" s="37"/>
      <c r="I163" s="37"/>
      <c r="J163" s="37"/>
      <c r="K163" s="37"/>
      <c r="L163" s="38" t="str">
        <f aca="false">IFERROR(VLOOKUP($C163,Settings!$A$9:$C$28,2,FALSE()),"")</f>
        <v/>
      </c>
      <c r="M163" s="39" t="str">
        <f aca="false">IFERROR(VLOOKUP($C163,Settings!$A$9:$C$28,3,FALSE()),"")</f>
        <v/>
      </c>
      <c r="N163" s="40" t="str">
        <f aca="false">IF(OR($H163="",$I163=""),"",IFERROR(ABS(H163-I163)/L163,""))</f>
        <v/>
      </c>
      <c r="O163" s="40" t="str">
        <f aca="false">IF(OR($H163="",$J163=""),"",IFERROR(ABS(J163-H163)/L163,""))</f>
        <v/>
      </c>
      <c r="P163" s="41" t="str">
        <f aca="false">IF(OR(N163="",O163="",N163=0),"",O163/N163)</f>
        <v/>
      </c>
      <c r="Q163" s="40" t="str">
        <f aca="false">IF(OR($H163="",$K163=""),"",IFERROR(((K163-H163)/L163)*IF($D163="Buy",1,-1),""))</f>
        <v/>
      </c>
      <c r="R163" s="42" t="str">
        <f aca="false">IF(OR(N163="",$G163=""),"",IFERROR(N163*M163*G163,""))</f>
        <v/>
      </c>
      <c r="S163" s="42" t="str">
        <f aca="false">IF(OR(Q163="",$G163=""),"",IFERROR(Q163*M163*G163,""))</f>
        <v/>
      </c>
      <c r="T163" s="41" t="str">
        <f aca="false">IF(OR(S163="",R163="",R163=0),"",S163/R163)</f>
        <v/>
      </c>
      <c r="U163" s="43" t="str">
        <f aca="false">IF(S163="","",IF(S163&gt;0,"Win",IF(S163&lt;0,"Loss","BE")))</f>
        <v/>
      </c>
      <c r="V163" s="44" t="str">
        <f aca="false">IF(OR($H163="",R163=""),"",IFERROR(R163/(W163-S163),""))</f>
        <v/>
      </c>
      <c r="W163" s="45" t="str">
        <f aca="false">IF($H163="","",Settings!$B$3+SUM($S$2:S163))</f>
        <v/>
      </c>
      <c r="X163" s="45" t="str">
        <f aca="false">IF($H163="","",MAX(Settings!$B$3,MAX($W$2:W163)))</f>
        <v/>
      </c>
      <c r="Y163" s="44" t="str">
        <f aca="false">IF(OR($H163="",X163=""),"",IFERROR((W163-X163)/X163,""))</f>
        <v/>
      </c>
      <c r="Z163" s="35"/>
    </row>
    <row r="164" customFormat="false" ht="15" hidden="false" customHeight="true" outlineLevel="0" collapsed="false">
      <c r="A164" s="34" t="str">
        <f aca="false">IF($H164="","",ROW()-1)</f>
        <v/>
      </c>
      <c r="B164" s="35"/>
      <c r="C164" s="35"/>
      <c r="D164" s="34"/>
      <c r="E164" s="34"/>
      <c r="F164" s="35"/>
      <c r="G164" s="36"/>
      <c r="H164" s="37"/>
      <c r="I164" s="37"/>
      <c r="J164" s="37"/>
      <c r="K164" s="37"/>
      <c r="L164" s="38" t="str">
        <f aca="false">IFERROR(VLOOKUP($C164,Settings!$A$9:$C$28,2,FALSE()),"")</f>
        <v/>
      </c>
      <c r="M164" s="39" t="str">
        <f aca="false">IFERROR(VLOOKUP($C164,Settings!$A$9:$C$28,3,FALSE()),"")</f>
        <v/>
      </c>
      <c r="N164" s="40" t="str">
        <f aca="false">IF(OR($H164="",$I164=""),"",IFERROR(ABS(H164-I164)/L164,""))</f>
        <v/>
      </c>
      <c r="O164" s="40" t="str">
        <f aca="false">IF(OR($H164="",$J164=""),"",IFERROR(ABS(J164-H164)/L164,""))</f>
        <v/>
      </c>
      <c r="P164" s="41" t="str">
        <f aca="false">IF(OR(N164="",O164="",N164=0),"",O164/N164)</f>
        <v/>
      </c>
      <c r="Q164" s="40" t="str">
        <f aca="false">IF(OR($H164="",$K164=""),"",IFERROR(((K164-H164)/L164)*IF($D164="Buy",1,-1),""))</f>
        <v/>
      </c>
      <c r="R164" s="42" t="str">
        <f aca="false">IF(OR(N164="",$G164=""),"",IFERROR(N164*M164*G164,""))</f>
        <v/>
      </c>
      <c r="S164" s="42" t="str">
        <f aca="false">IF(OR(Q164="",$G164=""),"",IFERROR(Q164*M164*G164,""))</f>
        <v/>
      </c>
      <c r="T164" s="41" t="str">
        <f aca="false">IF(OR(S164="",R164="",R164=0),"",S164/R164)</f>
        <v/>
      </c>
      <c r="U164" s="43" t="str">
        <f aca="false">IF(S164="","",IF(S164&gt;0,"Win",IF(S164&lt;0,"Loss","BE")))</f>
        <v/>
      </c>
      <c r="V164" s="44" t="str">
        <f aca="false">IF(OR($H164="",R164=""),"",IFERROR(R164/(W164-S164),""))</f>
        <v/>
      </c>
      <c r="W164" s="45" t="str">
        <f aca="false">IF($H164="","",Settings!$B$3+SUM($S$2:S164))</f>
        <v/>
      </c>
      <c r="X164" s="45" t="str">
        <f aca="false">IF($H164="","",MAX(Settings!$B$3,MAX($W$2:W164)))</f>
        <v/>
      </c>
      <c r="Y164" s="44" t="str">
        <f aca="false">IF(OR($H164="",X164=""),"",IFERROR((W164-X164)/X164,""))</f>
        <v/>
      </c>
      <c r="Z164" s="35"/>
    </row>
    <row r="165" customFormat="false" ht="15" hidden="false" customHeight="true" outlineLevel="0" collapsed="false">
      <c r="A165" s="34" t="str">
        <f aca="false">IF($H165="","",ROW()-1)</f>
        <v/>
      </c>
      <c r="B165" s="35"/>
      <c r="C165" s="35"/>
      <c r="D165" s="34"/>
      <c r="E165" s="34"/>
      <c r="F165" s="35"/>
      <c r="G165" s="36"/>
      <c r="H165" s="37"/>
      <c r="I165" s="37"/>
      <c r="J165" s="37"/>
      <c r="K165" s="37"/>
      <c r="L165" s="38" t="str">
        <f aca="false">IFERROR(VLOOKUP($C165,Settings!$A$9:$C$28,2,FALSE()),"")</f>
        <v/>
      </c>
      <c r="M165" s="39" t="str">
        <f aca="false">IFERROR(VLOOKUP($C165,Settings!$A$9:$C$28,3,FALSE()),"")</f>
        <v/>
      </c>
      <c r="N165" s="40" t="str">
        <f aca="false">IF(OR($H165="",$I165=""),"",IFERROR(ABS(H165-I165)/L165,""))</f>
        <v/>
      </c>
      <c r="O165" s="40" t="str">
        <f aca="false">IF(OR($H165="",$J165=""),"",IFERROR(ABS(J165-H165)/L165,""))</f>
        <v/>
      </c>
      <c r="P165" s="41" t="str">
        <f aca="false">IF(OR(N165="",O165="",N165=0),"",O165/N165)</f>
        <v/>
      </c>
      <c r="Q165" s="40" t="str">
        <f aca="false">IF(OR($H165="",$K165=""),"",IFERROR(((K165-H165)/L165)*IF($D165="Buy",1,-1),""))</f>
        <v/>
      </c>
      <c r="R165" s="42" t="str">
        <f aca="false">IF(OR(N165="",$G165=""),"",IFERROR(N165*M165*G165,""))</f>
        <v/>
      </c>
      <c r="S165" s="42" t="str">
        <f aca="false">IF(OR(Q165="",$G165=""),"",IFERROR(Q165*M165*G165,""))</f>
        <v/>
      </c>
      <c r="T165" s="41" t="str">
        <f aca="false">IF(OR(S165="",R165="",R165=0),"",S165/R165)</f>
        <v/>
      </c>
      <c r="U165" s="43" t="str">
        <f aca="false">IF(S165="","",IF(S165&gt;0,"Win",IF(S165&lt;0,"Loss","BE")))</f>
        <v/>
      </c>
      <c r="V165" s="44" t="str">
        <f aca="false">IF(OR($H165="",R165=""),"",IFERROR(R165/(W165-S165),""))</f>
        <v/>
      </c>
      <c r="W165" s="45" t="str">
        <f aca="false">IF($H165="","",Settings!$B$3+SUM($S$2:S165))</f>
        <v/>
      </c>
      <c r="X165" s="45" t="str">
        <f aca="false">IF($H165="","",MAX(Settings!$B$3,MAX($W$2:W165)))</f>
        <v/>
      </c>
      <c r="Y165" s="44" t="str">
        <f aca="false">IF(OR($H165="",X165=""),"",IFERROR((W165-X165)/X165,""))</f>
        <v/>
      </c>
      <c r="Z165" s="35"/>
    </row>
    <row r="166" customFormat="false" ht="15" hidden="false" customHeight="true" outlineLevel="0" collapsed="false">
      <c r="A166" s="34" t="str">
        <f aca="false">IF($H166="","",ROW()-1)</f>
        <v/>
      </c>
      <c r="B166" s="35"/>
      <c r="C166" s="35"/>
      <c r="D166" s="34"/>
      <c r="E166" s="34"/>
      <c r="F166" s="35"/>
      <c r="G166" s="36"/>
      <c r="H166" s="37"/>
      <c r="I166" s="37"/>
      <c r="J166" s="37"/>
      <c r="K166" s="37"/>
      <c r="L166" s="38" t="str">
        <f aca="false">IFERROR(VLOOKUP($C166,Settings!$A$9:$C$28,2,FALSE()),"")</f>
        <v/>
      </c>
      <c r="M166" s="39" t="str">
        <f aca="false">IFERROR(VLOOKUP($C166,Settings!$A$9:$C$28,3,FALSE()),"")</f>
        <v/>
      </c>
      <c r="N166" s="40" t="str">
        <f aca="false">IF(OR($H166="",$I166=""),"",IFERROR(ABS(H166-I166)/L166,""))</f>
        <v/>
      </c>
      <c r="O166" s="40" t="str">
        <f aca="false">IF(OR($H166="",$J166=""),"",IFERROR(ABS(J166-H166)/L166,""))</f>
        <v/>
      </c>
      <c r="P166" s="41" t="str">
        <f aca="false">IF(OR(N166="",O166="",N166=0),"",O166/N166)</f>
        <v/>
      </c>
      <c r="Q166" s="40" t="str">
        <f aca="false">IF(OR($H166="",$K166=""),"",IFERROR(((K166-H166)/L166)*IF($D166="Buy",1,-1),""))</f>
        <v/>
      </c>
      <c r="R166" s="42" t="str">
        <f aca="false">IF(OR(N166="",$G166=""),"",IFERROR(N166*M166*G166,""))</f>
        <v/>
      </c>
      <c r="S166" s="42" t="str">
        <f aca="false">IF(OR(Q166="",$G166=""),"",IFERROR(Q166*M166*G166,""))</f>
        <v/>
      </c>
      <c r="T166" s="41" t="str">
        <f aca="false">IF(OR(S166="",R166="",R166=0),"",S166/R166)</f>
        <v/>
      </c>
      <c r="U166" s="43" t="str">
        <f aca="false">IF(S166="","",IF(S166&gt;0,"Win",IF(S166&lt;0,"Loss","BE")))</f>
        <v/>
      </c>
      <c r="V166" s="44" t="str">
        <f aca="false">IF(OR($H166="",R166=""),"",IFERROR(R166/(W166-S166),""))</f>
        <v/>
      </c>
      <c r="W166" s="45" t="str">
        <f aca="false">IF($H166="","",Settings!$B$3+SUM($S$2:S166))</f>
        <v/>
      </c>
      <c r="X166" s="45" t="str">
        <f aca="false">IF($H166="","",MAX(Settings!$B$3,MAX($W$2:W166)))</f>
        <v/>
      </c>
      <c r="Y166" s="44" t="str">
        <f aca="false">IF(OR($H166="",X166=""),"",IFERROR((W166-X166)/X166,""))</f>
        <v/>
      </c>
      <c r="Z166" s="35"/>
    </row>
    <row r="167" customFormat="false" ht="15" hidden="false" customHeight="true" outlineLevel="0" collapsed="false">
      <c r="A167" s="34" t="str">
        <f aca="false">IF($H167="","",ROW()-1)</f>
        <v/>
      </c>
      <c r="B167" s="35"/>
      <c r="C167" s="35"/>
      <c r="D167" s="34"/>
      <c r="E167" s="34"/>
      <c r="F167" s="35"/>
      <c r="G167" s="36"/>
      <c r="H167" s="37"/>
      <c r="I167" s="37"/>
      <c r="J167" s="37"/>
      <c r="K167" s="37"/>
      <c r="L167" s="38" t="str">
        <f aca="false">IFERROR(VLOOKUP($C167,Settings!$A$9:$C$28,2,FALSE()),"")</f>
        <v/>
      </c>
      <c r="M167" s="39" t="str">
        <f aca="false">IFERROR(VLOOKUP($C167,Settings!$A$9:$C$28,3,FALSE()),"")</f>
        <v/>
      </c>
      <c r="N167" s="40" t="str">
        <f aca="false">IF(OR($H167="",$I167=""),"",IFERROR(ABS(H167-I167)/L167,""))</f>
        <v/>
      </c>
      <c r="O167" s="40" t="str">
        <f aca="false">IF(OR($H167="",$J167=""),"",IFERROR(ABS(J167-H167)/L167,""))</f>
        <v/>
      </c>
      <c r="P167" s="41" t="str">
        <f aca="false">IF(OR(N167="",O167="",N167=0),"",O167/N167)</f>
        <v/>
      </c>
      <c r="Q167" s="40" t="str">
        <f aca="false">IF(OR($H167="",$K167=""),"",IFERROR(((K167-H167)/L167)*IF($D167="Buy",1,-1),""))</f>
        <v/>
      </c>
      <c r="R167" s="42" t="str">
        <f aca="false">IF(OR(N167="",$G167=""),"",IFERROR(N167*M167*G167,""))</f>
        <v/>
      </c>
      <c r="S167" s="42" t="str">
        <f aca="false">IF(OR(Q167="",$G167=""),"",IFERROR(Q167*M167*G167,""))</f>
        <v/>
      </c>
      <c r="T167" s="41" t="str">
        <f aca="false">IF(OR(S167="",R167="",R167=0),"",S167/R167)</f>
        <v/>
      </c>
      <c r="U167" s="43" t="str">
        <f aca="false">IF(S167="","",IF(S167&gt;0,"Win",IF(S167&lt;0,"Loss","BE")))</f>
        <v/>
      </c>
      <c r="V167" s="44" t="str">
        <f aca="false">IF(OR($H167="",R167=""),"",IFERROR(R167/(W167-S167),""))</f>
        <v/>
      </c>
      <c r="W167" s="45" t="str">
        <f aca="false">IF($H167="","",Settings!$B$3+SUM($S$2:S167))</f>
        <v/>
      </c>
      <c r="X167" s="45" t="str">
        <f aca="false">IF($H167="","",MAX(Settings!$B$3,MAX($W$2:W167)))</f>
        <v/>
      </c>
      <c r="Y167" s="44" t="str">
        <f aca="false">IF(OR($H167="",X167=""),"",IFERROR((W167-X167)/X167,""))</f>
        <v/>
      </c>
      <c r="Z167" s="35"/>
    </row>
    <row r="168" customFormat="false" ht="15" hidden="false" customHeight="true" outlineLevel="0" collapsed="false">
      <c r="A168" s="34" t="str">
        <f aca="false">IF($H168="","",ROW()-1)</f>
        <v/>
      </c>
      <c r="B168" s="35"/>
      <c r="C168" s="35"/>
      <c r="D168" s="34"/>
      <c r="E168" s="34"/>
      <c r="F168" s="35"/>
      <c r="G168" s="36"/>
      <c r="H168" s="37"/>
      <c r="I168" s="37"/>
      <c r="J168" s="37"/>
      <c r="K168" s="37"/>
      <c r="L168" s="38" t="str">
        <f aca="false">IFERROR(VLOOKUP($C168,Settings!$A$9:$C$28,2,FALSE()),"")</f>
        <v/>
      </c>
      <c r="M168" s="39" t="str">
        <f aca="false">IFERROR(VLOOKUP($C168,Settings!$A$9:$C$28,3,FALSE()),"")</f>
        <v/>
      </c>
      <c r="N168" s="40" t="str">
        <f aca="false">IF(OR($H168="",$I168=""),"",IFERROR(ABS(H168-I168)/L168,""))</f>
        <v/>
      </c>
      <c r="O168" s="40" t="str">
        <f aca="false">IF(OR($H168="",$J168=""),"",IFERROR(ABS(J168-H168)/L168,""))</f>
        <v/>
      </c>
      <c r="P168" s="41" t="str">
        <f aca="false">IF(OR(N168="",O168="",N168=0),"",O168/N168)</f>
        <v/>
      </c>
      <c r="Q168" s="40" t="str">
        <f aca="false">IF(OR($H168="",$K168=""),"",IFERROR(((K168-H168)/L168)*IF($D168="Buy",1,-1),""))</f>
        <v/>
      </c>
      <c r="R168" s="42" t="str">
        <f aca="false">IF(OR(N168="",$G168=""),"",IFERROR(N168*M168*G168,""))</f>
        <v/>
      </c>
      <c r="S168" s="42" t="str">
        <f aca="false">IF(OR(Q168="",$G168=""),"",IFERROR(Q168*M168*G168,""))</f>
        <v/>
      </c>
      <c r="T168" s="41" t="str">
        <f aca="false">IF(OR(S168="",R168="",R168=0),"",S168/R168)</f>
        <v/>
      </c>
      <c r="U168" s="43" t="str">
        <f aca="false">IF(S168="","",IF(S168&gt;0,"Win",IF(S168&lt;0,"Loss","BE")))</f>
        <v/>
      </c>
      <c r="V168" s="44" t="str">
        <f aca="false">IF(OR($H168="",R168=""),"",IFERROR(R168/(W168-S168),""))</f>
        <v/>
      </c>
      <c r="W168" s="45" t="str">
        <f aca="false">IF($H168="","",Settings!$B$3+SUM($S$2:S168))</f>
        <v/>
      </c>
      <c r="X168" s="45" t="str">
        <f aca="false">IF($H168="","",MAX(Settings!$B$3,MAX($W$2:W168)))</f>
        <v/>
      </c>
      <c r="Y168" s="44" t="str">
        <f aca="false">IF(OR($H168="",X168=""),"",IFERROR((W168-X168)/X168,""))</f>
        <v/>
      </c>
      <c r="Z168" s="35"/>
    </row>
    <row r="169" customFormat="false" ht="15" hidden="false" customHeight="true" outlineLevel="0" collapsed="false">
      <c r="A169" s="34" t="str">
        <f aca="false">IF($H169="","",ROW()-1)</f>
        <v/>
      </c>
      <c r="B169" s="35"/>
      <c r="C169" s="35"/>
      <c r="D169" s="34"/>
      <c r="E169" s="34"/>
      <c r="F169" s="35"/>
      <c r="G169" s="36"/>
      <c r="H169" s="37"/>
      <c r="I169" s="37"/>
      <c r="J169" s="37"/>
      <c r="K169" s="37"/>
      <c r="L169" s="38" t="str">
        <f aca="false">IFERROR(VLOOKUP($C169,Settings!$A$9:$C$28,2,FALSE()),"")</f>
        <v/>
      </c>
      <c r="M169" s="39" t="str">
        <f aca="false">IFERROR(VLOOKUP($C169,Settings!$A$9:$C$28,3,FALSE()),"")</f>
        <v/>
      </c>
      <c r="N169" s="40" t="str">
        <f aca="false">IF(OR($H169="",$I169=""),"",IFERROR(ABS(H169-I169)/L169,""))</f>
        <v/>
      </c>
      <c r="O169" s="40" t="str">
        <f aca="false">IF(OR($H169="",$J169=""),"",IFERROR(ABS(J169-H169)/L169,""))</f>
        <v/>
      </c>
      <c r="P169" s="41" t="str">
        <f aca="false">IF(OR(N169="",O169="",N169=0),"",O169/N169)</f>
        <v/>
      </c>
      <c r="Q169" s="40" t="str">
        <f aca="false">IF(OR($H169="",$K169=""),"",IFERROR(((K169-H169)/L169)*IF($D169="Buy",1,-1),""))</f>
        <v/>
      </c>
      <c r="R169" s="42" t="str">
        <f aca="false">IF(OR(N169="",$G169=""),"",IFERROR(N169*M169*G169,""))</f>
        <v/>
      </c>
      <c r="S169" s="42" t="str">
        <f aca="false">IF(OR(Q169="",$G169=""),"",IFERROR(Q169*M169*G169,""))</f>
        <v/>
      </c>
      <c r="T169" s="41" t="str">
        <f aca="false">IF(OR(S169="",R169="",R169=0),"",S169/R169)</f>
        <v/>
      </c>
      <c r="U169" s="43" t="str">
        <f aca="false">IF(S169="","",IF(S169&gt;0,"Win",IF(S169&lt;0,"Loss","BE")))</f>
        <v/>
      </c>
      <c r="V169" s="44" t="str">
        <f aca="false">IF(OR($H169="",R169=""),"",IFERROR(R169/(W169-S169),""))</f>
        <v/>
      </c>
      <c r="W169" s="45" t="str">
        <f aca="false">IF($H169="","",Settings!$B$3+SUM($S$2:S169))</f>
        <v/>
      </c>
      <c r="X169" s="45" t="str">
        <f aca="false">IF($H169="","",MAX(Settings!$B$3,MAX($W$2:W169)))</f>
        <v/>
      </c>
      <c r="Y169" s="44" t="str">
        <f aca="false">IF(OR($H169="",X169=""),"",IFERROR((W169-X169)/X169,""))</f>
        <v/>
      </c>
      <c r="Z169" s="35"/>
    </row>
    <row r="170" customFormat="false" ht="15" hidden="false" customHeight="true" outlineLevel="0" collapsed="false">
      <c r="A170" s="34" t="str">
        <f aca="false">IF($H170="","",ROW()-1)</f>
        <v/>
      </c>
      <c r="B170" s="35"/>
      <c r="C170" s="35"/>
      <c r="D170" s="34"/>
      <c r="E170" s="34"/>
      <c r="F170" s="35"/>
      <c r="G170" s="36"/>
      <c r="H170" s="37"/>
      <c r="I170" s="37"/>
      <c r="J170" s="37"/>
      <c r="K170" s="37"/>
      <c r="L170" s="38" t="str">
        <f aca="false">IFERROR(VLOOKUP($C170,Settings!$A$9:$C$28,2,FALSE()),"")</f>
        <v/>
      </c>
      <c r="M170" s="39" t="str">
        <f aca="false">IFERROR(VLOOKUP($C170,Settings!$A$9:$C$28,3,FALSE()),"")</f>
        <v/>
      </c>
      <c r="N170" s="40" t="str">
        <f aca="false">IF(OR($H170="",$I170=""),"",IFERROR(ABS(H170-I170)/L170,""))</f>
        <v/>
      </c>
      <c r="O170" s="40" t="str">
        <f aca="false">IF(OR($H170="",$J170=""),"",IFERROR(ABS(J170-H170)/L170,""))</f>
        <v/>
      </c>
      <c r="P170" s="41" t="str">
        <f aca="false">IF(OR(N170="",O170="",N170=0),"",O170/N170)</f>
        <v/>
      </c>
      <c r="Q170" s="40" t="str">
        <f aca="false">IF(OR($H170="",$K170=""),"",IFERROR(((K170-H170)/L170)*IF($D170="Buy",1,-1),""))</f>
        <v/>
      </c>
      <c r="R170" s="42" t="str">
        <f aca="false">IF(OR(N170="",$G170=""),"",IFERROR(N170*M170*G170,""))</f>
        <v/>
      </c>
      <c r="S170" s="42" t="str">
        <f aca="false">IF(OR(Q170="",$G170=""),"",IFERROR(Q170*M170*G170,""))</f>
        <v/>
      </c>
      <c r="T170" s="41" t="str">
        <f aca="false">IF(OR(S170="",R170="",R170=0),"",S170/R170)</f>
        <v/>
      </c>
      <c r="U170" s="43" t="str">
        <f aca="false">IF(S170="","",IF(S170&gt;0,"Win",IF(S170&lt;0,"Loss","BE")))</f>
        <v/>
      </c>
      <c r="V170" s="44" t="str">
        <f aca="false">IF(OR($H170="",R170=""),"",IFERROR(R170/(W170-S170),""))</f>
        <v/>
      </c>
      <c r="W170" s="45" t="str">
        <f aca="false">IF($H170="","",Settings!$B$3+SUM($S$2:S170))</f>
        <v/>
      </c>
      <c r="X170" s="45" t="str">
        <f aca="false">IF($H170="","",MAX(Settings!$B$3,MAX($W$2:W170)))</f>
        <v/>
      </c>
      <c r="Y170" s="44" t="str">
        <f aca="false">IF(OR($H170="",X170=""),"",IFERROR((W170-X170)/X170,""))</f>
        <v/>
      </c>
      <c r="Z170" s="35"/>
    </row>
    <row r="171" customFormat="false" ht="15" hidden="false" customHeight="true" outlineLevel="0" collapsed="false">
      <c r="A171" s="34" t="str">
        <f aca="false">IF($H171="","",ROW()-1)</f>
        <v/>
      </c>
      <c r="B171" s="35"/>
      <c r="C171" s="35"/>
      <c r="D171" s="34"/>
      <c r="E171" s="34"/>
      <c r="F171" s="35"/>
      <c r="G171" s="36"/>
      <c r="H171" s="37"/>
      <c r="I171" s="37"/>
      <c r="J171" s="37"/>
      <c r="K171" s="37"/>
      <c r="L171" s="38" t="str">
        <f aca="false">IFERROR(VLOOKUP($C171,Settings!$A$9:$C$28,2,FALSE()),"")</f>
        <v/>
      </c>
      <c r="M171" s="39" t="str">
        <f aca="false">IFERROR(VLOOKUP($C171,Settings!$A$9:$C$28,3,FALSE()),"")</f>
        <v/>
      </c>
      <c r="N171" s="40" t="str">
        <f aca="false">IF(OR($H171="",$I171=""),"",IFERROR(ABS(H171-I171)/L171,""))</f>
        <v/>
      </c>
      <c r="O171" s="40" t="str">
        <f aca="false">IF(OR($H171="",$J171=""),"",IFERROR(ABS(J171-H171)/L171,""))</f>
        <v/>
      </c>
      <c r="P171" s="41" t="str">
        <f aca="false">IF(OR(N171="",O171="",N171=0),"",O171/N171)</f>
        <v/>
      </c>
      <c r="Q171" s="40" t="str">
        <f aca="false">IF(OR($H171="",$K171=""),"",IFERROR(((K171-H171)/L171)*IF($D171="Buy",1,-1),""))</f>
        <v/>
      </c>
      <c r="R171" s="42" t="str">
        <f aca="false">IF(OR(N171="",$G171=""),"",IFERROR(N171*M171*G171,""))</f>
        <v/>
      </c>
      <c r="S171" s="42" t="str">
        <f aca="false">IF(OR(Q171="",$G171=""),"",IFERROR(Q171*M171*G171,""))</f>
        <v/>
      </c>
      <c r="T171" s="41" t="str">
        <f aca="false">IF(OR(S171="",R171="",R171=0),"",S171/R171)</f>
        <v/>
      </c>
      <c r="U171" s="43" t="str">
        <f aca="false">IF(S171="","",IF(S171&gt;0,"Win",IF(S171&lt;0,"Loss","BE")))</f>
        <v/>
      </c>
      <c r="V171" s="44" t="str">
        <f aca="false">IF(OR($H171="",R171=""),"",IFERROR(R171/(W171-S171),""))</f>
        <v/>
      </c>
      <c r="W171" s="45" t="str">
        <f aca="false">IF($H171="","",Settings!$B$3+SUM($S$2:S171))</f>
        <v/>
      </c>
      <c r="X171" s="45" t="str">
        <f aca="false">IF($H171="","",MAX(Settings!$B$3,MAX($W$2:W171)))</f>
        <v/>
      </c>
      <c r="Y171" s="44" t="str">
        <f aca="false">IF(OR($H171="",X171=""),"",IFERROR((W171-X171)/X171,""))</f>
        <v/>
      </c>
      <c r="Z171" s="35"/>
    </row>
    <row r="172" customFormat="false" ht="15" hidden="false" customHeight="true" outlineLevel="0" collapsed="false">
      <c r="A172" s="34" t="str">
        <f aca="false">IF($H172="","",ROW()-1)</f>
        <v/>
      </c>
      <c r="B172" s="35"/>
      <c r="C172" s="35"/>
      <c r="D172" s="34"/>
      <c r="E172" s="34"/>
      <c r="F172" s="35"/>
      <c r="G172" s="36"/>
      <c r="H172" s="37"/>
      <c r="I172" s="37"/>
      <c r="J172" s="37"/>
      <c r="K172" s="37"/>
      <c r="L172" s="38" t="str">
        <f aca="false">IFERROR(VLOOKUP($C172,Settings!$A$9:$C$28,2,FALSE()),"")</f>
        <v/>
      </c>
      <c r="M172" s="39" t="str">
        <f aca="false">IFERROR(VLOOKUP($C172,Settings!$A$9:$C$28,3,FALSE()),"")</f>
        <v/>
      </c>
      <c r="N172" s="40" t="str">
        <f aca="false">IF(OR($H172="",$I172=""),"",IFERROR(ABS(H172-I172)/L172,""))</f>
        <v/>
      </c>
      <c r="O172" s="40" t="str">
        <f aca="false">IF(OR($H172="",$J172=""),"",IFERROR(ABS(J172-H172)/L172,""))</f>
        <v/>
      </c>
      <c r="P172" s="41" t="str">
        <f aca="false">IF(OR(N172="",O172="",N172=0),"",O172/N172)</f>
        <v/>
      </c>
      <c r="Q172" s="40" t="str">
        <f aca="false">IF(OR($H172="",$K172=""),"",IFERROR(((K172-H172)/L172)*IF($D172="Buy",1,-1),""))</f>
        <v/>
      </c>
      <c r="R172" s="42" t="str">
        <f aca="false">IF(OR(N172="",$G172=""),"",IFERROR(N172*M172*G172,""))</f>
        <v/>
      </c>
      <c r="S172" s="42" t="str">
        <f aca="false">IF(OR(Q172="",$G172=""),"",IFERROR(Q172*M172*G172,""))</f>
        <v/>
      </c>
      <c r="T172" s="41" t="str">
        <f aca="false">IF(OR(S172="",R172="",R172=0),"",S172/R172)</f>
        <v/>
      </c>
      <c r="U172" s="43" t="str">
        <f aca="false">IF(S172="","",IF(S172&gt;0,"Win",IF(S172&lt;0,"Loss","BE")))</f>
        <v/>
      </c>
      <c r="V172" s="44" t="str">
        <f aca="false">IF(OR($H172="",R172=""),"",IFERROR(R172/(W172-S172),""))</f>
        <v/>
      </c>
      <c r="W172" s="45" t="str">
        <f aca="false">IF($H172="","",Settings!$B$3+SUM($S$2:S172))</f>
        <v/>
      </c>
      <c r="X172" s="45" t="str">
        <f aca="false">IF($H172="","",MAX(Settings!$B$3,MAX($W$2:W172)))</f>
        <v/>
      </c>
      <c r="Y172" s="44" t="str">
        <f aca="false">IF(OR($H172="",X172=""),"",IFERROR((W172-X172)/X172,""))</f>
        <v/>
      </c>
      <c r="Z172" s="35"/>
    </row>
    <row r="173" customFormat="false" ht="15" hidden="false" customHeight="true" outlineLevel="0" collapsed="false">
      <c r="A173" s="34" t="str">
        <f aca="false">IF($H173="","",ROW()-1)</f>
        <v/>
      </c>
      <c r="B173" s="35"/>
      <c r="C173" s="35"/>
      <c r="D173" s="34"/>
      <c r="E173" s="34"/>
      <c r="F173" s="35"/>
      <c r="G173" s="36"/>
      <c r="H173" s="37"/>
      <c r="I173" s="37"/>
      <c r="J173" s="37"/>
      <c r="K173" s="37"/>
      <c r="L173" s="38" t="str">
        <f aca="false">IFERROR(VLOOKUP($C173,Settings!$A$9:$C$28,2,FALSE()),"")</f>
        <v/>
      </c>
      <c r="M173" s="39" t="str">
        <f aca="false">IFERROR(VLOOKUP($C173,Settings!$A$9:$C$28,3,FALSE()),"")</f>
        <v/>
      </c>
      <c r="N173" s="40" t="str">
        <f aca="false">IF(OR($H173="",$I173=""),"",IFERROR(ABS(H173-I173)/L173,""))</f>
        <v/>
      </c>
      <c r="O173" s="40" t="str">
        <f aca="false">IF(OR($H173="",$J173=""),"",IFERROR(ABS(J173-H173)/L173,""))</f>
        <v/>
      </c>
      <c r="P173" s="41" t="str">
        <f aca="false">IF(OR(N173="",O173="",N173=0),"",O173/N173)</f>
        <v/>
      </c>
      <c r="Q173" s="40" t="str">
        <f aca="false">IF(OR($H173="",$K173=""),"",IFERROR(((K173-H173)/L173)*IF($D173="Buy",1,-1),""))</f>
        <v/>
      </c>
      <c r="R173" s="42" t="str">
        <f aca="false">IF(OR(N173="",$G173=""),"",IFERROR(N173*M173*G173,""))</f>
        <v/>
      </c>
      <c r="S173" s="42" t="str">
        <f aca="false">IF(OR(Q173="",$G173=""),"",IFERROR(Q173*M173*G173,""))</f>
        <v/>
      </c>
      <c r="T173" s="41" t="str">
        <f aca="false">IF(OR(S173="",R173="",R173=0),"",S173/R173)</f>
        <v/>
      </c>
      <c r="U173" s="43" t="str">
        <f aca="false">IF(S173="","",IF(S173&gt;0,"Win",IF(S173&lt;0,"Loss","BE")))</f>
        <v/>
      </c>
      <c r="V173" s="44" t="str">
        <f aca="false">IF(OR($H173="",R173=""),"",IFERROR(R173/(W173-S173),""))</f>
        <v/>
      </c>
      <c r="W173" s="45" t="str">
        <f aca="false">IF($H173="","",Settings!$B$3+SUM($S$2:S173))</f>
        <v/>
      </c>
      <c r="X173" s="45" t="str">
        <f aca="false">IF($H173="","",MAX(Settings!$B$3,MAX($W$2:W173)))</f>
        <v/>
      </c>
      <c r="Y173" s="44" t="str">
        <f aca="false">IF(OR($H173="",X173=""),"",IFERROR((W173-X173)/X173,""))</f>
        <v/>
      </c>
      <c r="Z173" s="35"/>
    </row>
    <row r="174" customFormat="false" ht="15" hidden="false" customHeight="true" outlineLevel="0" collapsed="false">
      <c r="A174" s="34" t="str">
        <f aca="false">IF($H174="","",ROW()-1)</f>
        <v/>
      </c>
      <c r="B174" s="35"/>
      <c r="C174" s="35"/>
      <c r="D174" s="34"/>
      <c r="E174" s="34"/>
      <c r="F174" s="35"/>
      <c r="G174" s="36"/>
      <c r="H174" s="37"/>
      <c r="I174" s="37"/>
      <c r="J174" s="37"/>
      <c r="K174" s="37"/>
      <c r="L174" s="38" t="str">
        <f aca="false">IFERROR(VLOOKUP($C174,Settings!$A$9:$C$28,2,FALSE()),"")</f>
        <v/>
      </c>
      <c r="M174" s="39" t="str">
        <f aca="false">IFERROR(VLOOKUP($C174,Settings!$A$9:$C$28,3,FALSE()),"")</f>
        <v/>
      </c>
      <c r="N174" s="40" t="str">
        <f aca="false">IF(OR($H174="",$I174=""),"",IFERROR(ABS(H174-I174)/L174,""))</f>
        <v/>
      </c>
      <c r="O174" s="40" t="str">
        <f aca="false">IF(OR($H174="",$J174=""),"",IFERROR(ABS(J174-H174)/L174,""))</f>
        <v/>
      </c>
      <c r="P174" s="41" t="str">
        <f aca="false">IF(OR(N174="",O174="",N174=0),"",O174/N174)</f>
        <v/>
      </c>
      <c r="Q174" s="40" t="str">
        <f aca="false">IF(OR($H174="",$K174=""),"",IFERROR(((K174-H174)/L174)*IF($D174="Buy",1,-1),""))</f>
        <v/>
      </c>
      <c r="R174" s="42" t="str">
        <f aca="false">IF(OR(N174="",$G174=""),"",IFERROR(N174*M174*G174,""))</f>
        <v/>
      </c>
      <c r="S174" s="42" t="str">
        <f aca="false">IF(OR(Q174="",$G174=""),"",IFERROR(Q174*M174*G174,""))</f>
        <v/>
      </c>
      <c r="T174" s="41" t="str">
        <f aca="false">IF(OR(S174="",R174="",R174=0),"",S174/R174)</f>
        <v/>
      </c>
      <c r="U174" s="43" t="str">
        <f aca="false">IF(S174="","",IF(S174&gt;0,"Win",IF(S174&lt;0,"Loss","BE")))</f>
        <v/>
      </c>
      <c r="V174" s="44" t="str">
        <f aca="false">IF(OR($H174="",R174=""),"",IFERROR(R174/(W174-S174),""))</f>
        <v/>
      </c>
      <c r="W174" s="45" t="str">
        <f aca="false">IF($H174="","",Settings!$B$3+SUM($S$2:S174))</f>
        <v/>
      </c>
      <c r="X174" s="45" t="str">
        <f aca="false">IF($H174="","",MAX(Settings!$B$3,MAX($W$2:W174)))</f>
        <v/>
      </c>
      <c r="Y174" s="44" t="str">
        <f aca="false">IF(OR($H174="",X174=""),"",IFERROR((W174-X174)/X174,""))</f>
        <v/>
      </c>
      <c r="Z174" s="35"/>
    </row>
    <row r="175" customFormat="false" ht="15" hidden="false" customHeight="true" outlineLevel="0" collapsed="false">
      <c r="A175" s="34" t="str">
        <f aca="false">IF($H175="","",ROW()-1)</f>
        <v/>
      </c>
      <c r="B175" s="35"/>
      <c r="C175" s="35"/>
      <c r="D175" s="34"/>
      <c r="E175" s="34"/>
      <c r="F175" s="35"/>
      <c r="G175" s="36"/>
      <c r="H175" s="37"/>
      <c r="I175" s="37"/>
      <c r="J175" s="37"/>
      <c r="K175" s="37"/>
      <c r="L175" s="38" t="str">
        <f aca="false">IFERROR(VLOOKUP($C175,Settings!$A$9:$C$28,2,FALSE()),"")</f>
        <v/>
      </c>
      <c r="M175" s="39" t="str">
        <f aca="false">IFERROR(VLOOKUP($C175,Settings!$A$9:$C$28,3,FALSE()),"")</f>
        <v/>
      </c>
      <c r="N175" s="40" t="str">
        <f aca="false">IF(OR($H175="",$I175=""),"",IFERROR(ABS(H175-I175)/L175,""))</f>
        <v/>
      </c>
      <c r="O175" s="40" t="str">
        <f aca="false">IF(OR($H175="",$J175=""),"",IFERROR(ABS(J175-H175)/L175,""))</f>
        <v/>
      </c>
      <c r="P175" s="41" t="str">
        <f aca="false">IF(OR(N175="",O175="",N175=0),"",O175/N175)</f>
        <v/>
      </c>
      <c r="Q175" s="40" t="str">
        <f aca="false">IF(OR($H175="",$K175=""),"",IFERROR(((K175-H175)/L175)*IF($D175="Buy",1,-1),""))</f>
        <v/>
      </c>
      <c r="R175" s="42" t="str">
        <f aca="false">IF(OR(N175="",$G175=""),"",IFERROR(N175*M175*G175,""))</f>
        <v/>
      </c>
      <c r="S175" s="42" t="str">
        <f aca="false">IF(OR(Q175="",$G175=""),"",IFERROR(Q175*M175*G175,""))</f>
        <v/>
      </c>
      <c r="T175" s="41" t="str">
        <f aca="false">IF(OR(S175="",R175="",R175=0),"",S175/R175)</f>
        <v/>
      </c>
      <c r="U175" s="43" t="str">
        <f aca="false">IF(S175="","",IF(S175&gt;0,"Win",IF(S175&lt;0,"Loss","BE")))</f>
        <v/>
      </c>
      <c r="V175" s="44" t="str">
        <f aca="false">IF(OR($H175="",R175=""),"",IFERROR(R175/(W175-S175),""))</f>
        <v/>
      </c>
      <c r="W175" s="45" t="str">
        <f aca="false">IF($H175="","",Settings!$B$3+SUM($S$2:S175))</f>
        <v/>
      </c>
      <c r="X175" s="45" t="str">
        <f aca="false">IF($H175="","",MAX(Settings!$B$3,MAX($W$2:W175)))</f>
        <v/>
      </c>
      <c r="Y175" s="44" t="str">
        <f aca="false">IF(OR($H175="",X175=""),"",IFERROR((W175-X175)/X175,""))</f>
        <v/>
      </c>
      <c r="Z175" s="35"/>
    </row>
    <row r="176" customFormat="false" ht="15" hidden="false" customHeight="true" outlineLevel="0" collapsed="false">
      <c r="A176" s="34" t="str">
        <f aca="false">IF($H176="","",ROW()-1)</f>
        <v/>
      </c>
      <c r="B176" s="35"/>
      <c r="C176" s="35"/>
      <c r="D176" s="34"/>
      <c r="E176" s="34"/>
      <c r="F176" s="35"/>
      <c r="G176" s="36"/>
      <c r="H176" s="37"/>
      <c r="I176" s="37"/>
      <c r="J176" s="37"/>
      <c r="K176" s="37"/>
      <c r="L176" s="38" t="str">
        <f aca="false">IFERROR(VLOOKUP($C176,Settings!$A$9:$C$28,2,FALSE()),"")</f>
        <v/>
      </c>
      <c r="M176" s="39" t="str">
        <f aca="false">IFERROR(VLOOKUP($C176,Settings!$A$9:$C$28,3,FALSE()),"")</f>
        <v/>
      </c>
      <c r="N176" s="40" t="str">
        <f aca="false">IF(OR($H176="",$I176=""),"",IFERROR(ABS(H176-I176)/L176,""))</f>
        <v/>
      </c>
      <c r="O176" s="40" t="str">
        <f aca="false">IF(OR($H176="",$J176=""),"",IFERROR(ABS(J176-H176)/L176,""))</f>
        <v/>
      </c>
      <c r="P176" s="41" t="str">
        <f aca="false">IF(OR(N176="",O176="",N176=0),"",O176/N176)</f>
        <v/>
      </c>
      <c r="Q176" s="40" t="str">
        <f aca="false">IF(OR($H176="",$K176=""),"",IFERROR(((K176-H176)/L176)*IF($D176="Buy",1,-1),""))</f>
        <v/>
      </c>
      <c r="R176" s="42" t="str">
        <f aca="false">IF(OR(N176="",$G176=""),"",IFERROR(N176*M176*G176,""))</f>
        <v/>
      </c>
      <c r="S176" s="42" t="str">
        <f aca="false">IF(OR(Q176="",$G176=""),"",IFERROR(Q176*M176*G176,""))</f>
        <v/>
      </c>
      <c r="T176" s="41" t="str">
        <f aca="false">IF(OR(S176="",R176="",R176=0),"",S176/R176)</f>
        <v/>
      </c>
      <c r="U176" s="43" t="str">
        <f aca="false">IF(S176="","",IF(S176&gt;0,"Win",IF(S176&lt;0,"Loss","BE")))</f>
        <v/>
      </c>
      <c r="V176" s="44" t="str">
        <f aca="false">IF(OR($H176="",R176=""),"",IFERROR(R176/(W176-S176),""))</f>
        <v/>
      </c>
      <c r="W176" s="45" t="str">
        <f aca="false">IF($H176="","",Settings!$B$3+SUM($S$2:S176))</f>
        <v/>
      </c>
      <c r="X176" s="45" t="str">
        <f aca="false">IF($H176="","",MAX(Settings!$B$3,MAX($W$2:W176)))</f>
        <v/>
      </c>
      <c r="Y176" s="44" t="str">
        <f aca="false">IF(OR($H176="",X176=""),"",IFERROR((W176-X176)/X176,""))</f>
        <v/>
      </c>
      <c r="Z176" s="35"/>
    </row>
    <row r="177" customFormat="false" ht="15" hidden="false" customHeight="true" outlineLevel="0" collapsed="false">
      <c r="A177" s="34" t="str">
        <f aca="false">IF($H177="","",ROW()-1)</f>
        <v/>
      </c>
      <c r="B177" s="35"/>
      <c r="C177" s="35"/>
      <c r="D177" s="34"/>
      <c r="E177" s="34"/>
      <c r="F177" s="35"/>
      <c r="G177" s="36"/>
      <c r="H177" s="37"/>
      <c r="I177" s="37"/>
      <c r="J177" s="37"/>
      <c r="K177" s="37"/>
      <c r="L177" s="38" t="str">
        <f aca="false">IFERROR(VLOOKUP($C177,Settings!$A$9:$C$28,2,FALSE()),"")</f>
        <v/>
      </c>
      <c r="M177" s="39" t="str">
        <f aca="false">IFERROR(VLOOKUP($C177,Settings!$A$9:$C$28,3,FALSE()),"")</f>
        <v/>
      </c>
      <c r="N177" s="40" t="str">
        <f aca="false">IF(OR($H177="",$I177=""),"",IFERROR(ABS(H177-I177)/L177,""))</f>
        <v/>
      </c>
      <c r="O177" s="40" t="str">
        <f aca="false">IF(OR($H177="",$J177=""),"",IFERROR(ABS(J177-H177)/L177,""))</f>
        <v/>
      </c>
      <c r="P177" s="41" t="str">
        <f aca="false">IF(OR(N177="",O177="",N177=0),"",O177/N177)</f>
        <v/>
      </c>
      <c r="Q177" s="40" t="str">
        <f aca="false">IF(OR($H177="",$K177=""),"",IFERROR(((K177-H177)/L177)*IF($D177="Buy",1,-1),""))</f>
        <v/>
      </c>
      <c r="R177" s="42" t="str">
        <f aca="false">IF(OR(N177="",$G177=""),"",IFERROR(N177*M177*G177,""))</f>
        <v/>
      </c>
      <c r="S177" s="42" t="str">
        <f aca="false">IF(OR(Q177="",$G177=""),"",IFERROR(Q177*M177*G177,""))</f>
        <v/>
      </c>
      <c r="T177" s="41" t="str">
        <f aca="false">IF(OR(S177="",R177="",R177=0),"",S177/R177)</f>
        <v/>
      </c>
      <c r="U177" s="43" t="str">
        <f aca="false">IF(S177="","",IF(S177&gt;0,"Win",IF(S177&lt;0,"Loss","BE")))</f>
        <v/>
      </c>
      <c r="V177" s="44" t="str">
        <f aca="false">IF(OR($H177="",R177=""),"",IFERROR(R177/(W177-S177),""))</f>
        <v/>
      </c>
      <c r="W177" s="45" t="str">
        <f aca="false">IF($H177="","",Settings!$B$3+SUM($S$2:S177))</f>
        <v/>
      </c>
      <c r="X177" s="45" t="str">
        <f aca="false">IF($H177="","",MAX(Settings!$B$3,MAX($W$2:W177)))</f>
        <v/>
      </c>
      <c r="Y177" s="44" t="str">
        <f aca="false">IF(OR($H177="",X177=""),"",IFERROR((W177-X177)/X177,""))</f>
        <v/>
      </c>
      <c r="Z177" s="35"/>
    </row>
    <row r="178" customFormat="false" ht="15" hidden="false" customHeight="true" outlineLevel="0" collapsed="false">
      <c r="A178" s="34" t="str">
        <f aca="false">IF($H178="","",ROW()-1)</f>
        <v/>
      </c>
      <c r="B178" s="35"/>
      <c r="C178" s="35"/>
      <c r="D178" s="34"/>
      <c r="E178" s="34"/>
      <c r="F178" s="35"/>
      <c r="G178" s="36"/>
      <c r="H178" s="37"/>
      <c r="I178" s="37"/>
      <c r="J178" s="37"/>
      <c r="K178" s="37"/>
      <c r="L178" s="38" t="str">
        <f aca="false">IFERROR(VLOOKUP($C178,Settings!$A$9:$C$28,2,FALSE()),"")</f>
        <v/>
      </c>
      <c r="M178" s="39" t="str">
        <f aca="false">IFERROR(VLOOKUP($C178,Settings!$A$9:$C$28,3,FALSE()),"")</f>
        <v/>
      </c>
      <c r="N178" s="40" t="str">
        <f aca="false">IF(OR($H178="",$I178=""),"",IFERROR(ABS(H178-I178)/L178,""))</f>
        <v/>
      </c>
      <c r="O178" s="40" t="str">
        <f aca="false">IF(OR($H178="",$J178=""),"",IFERROR(ABS(J178-H178)/L178,""))</f>
        <v/>
      </c>
      <c r="P178" s="41" t="str">
        <f aca="false">IF(OR(N178="",O178="",N178=0),"",O178/N178)</f>
        <v/>
      </c>
      <c r="Q178" s="40" t="str">
        <f aca="false">IF(OR($H178="",$K178=""),"",IFERROR(((K178-H178)/L178)*IF($D178="Buy",1,-1),""))</f>
        <v/>
      </c>
      <c r="R178" s="42" t="str">
        <f aca="false">IF(OR(N178="",$G178=""),"",IFERROR(N178*M178*G178,""))</f>
        <v/>
      </c>
      <c r="S178" s="42" t="str">
        <f aca="false">IF(OR(Q178="",$G178=""),"",IFERROR(Q178*M178*G178,""))</f>
        <v/>
      </c>
      <c r="T178" s="41" t="str">
        <f aca="false">IF(OR(S178="",R178="",R178=0),"",S178/R178)</f>
        <v/>
      </c>
      <c r="U178" s="43" t="str">
        <f aca="false">IF(S178="","",IF(S178&gt;0,"Win",IF(S178&lt;0,"Loss","BE")))</f>
        <v/>
      </c>
      <c r="V178" s="44" t="str">
        <f aca="false">IF(OR($H178="",R178=""),"",IFERROR(R178/(W178-S178),""))</f>
        <v/>
      </c>
      <c r="W178" s="45" t="str">
        <f aca="false">IF($H178="","",Settings!$B$3+SUM($S$2:S178))</f>
        <v/>
      </c>
      <c r="X178" s="45" t="str">
        <f aca="false">IF($H178="","",MAX(Settings!$B$3,MAX($W$2:W178)))</f>
        <v/>
      </c>
      <c r="Y178" s="44" t="str">
        <f aca="false">IF(OR($H178="",X178=""),"",IFERROR((W178-X178)/X178,""))</f>
        <v/>
      </c>
      <c r="Z178" s="35"/>
    </row>
    <row r="179" customFormat="false" ht="15" hidden="false" customHeight="true" outlineLevel="0" collapsed="false">
      <c r="A179" s="34" t="str">
        <f aca="false">IF($H179="","",ROW()-1)</f>
        <v/>
      </c>
      <c r="B179" s="35"/>
      <c r="C179" s="35"/>
      <c r="D179" s="34"/>
      <c r="E179" s="34"/>
      <c r="F179" s="35"/>
      <c r="G179" s="36"/>
      <c r="H179" s="37"/>
      <c r="I179" s="37"/>
      <c r="J179" s="37"/>
      <c r="K179" s="37"/>
      <c r="L179" s="38" t="str">
        <f aca="false">IFERROR(VLOOKUP($C179,Settings!$A$9:$C$28,2,FALSE()),"")</f>
        <v/>
      </c>
      <c r="M179" s="39" t="str">
        <f aca="false">IFERROR(VLOOKUP($C179,Settings!$A$9:$C$28,3,FALSE()),"")</f>
        <v/>
      </c>
      <c r="N179" s="40" t="str">
        <f aca="false">IF(OR($H179="",$I179=""),"",IFERROR(ABS(H179-I179)/L179,""))</f>
        <v/>
      </c>
      <c r="O179" s="40" t="str">
        <f aca="false">IF(OR($H179="",$J179=""),"",IFERROR(ABS(J179-H179)/L179,""))</f>
        <v/>
      </c>
      <c r="P179" s="41" t="str">
        <f aca="false">IF(OR(N179="",O179="",N179=0),"",O179/N179)</f>
        <v/>
      </c>
      <c r="Q179" s="40" t="str">
        <f aca="false">IF(OR($H179="",$K179=""),"",IFERROR(((K179-H179)/L179)*IF($D179="Buy",1,-1),""))</f>
        <v/>
      </c>
      <c r="R179" s="42" t="str">
        <f aca="false">IF(OR(N179="",$G179=""),"",IFERROR(N179*M179*G179,""))</f>
        <v/>
      </c>
      <c r="S179" s="42" t="str">
        <f aca="false">IF(OR(Q179="",$G179=""),"",IFERROR(Q179*M179*G179,""))</f>
        <v/>
      </c>
      <c r="T179" s="41" t="str">
        <f aca="false">IF(OR(S179="",R179="",R179=0),"",S179/R179)</f>
        <v/>
      </c>
      <c r="U179" s="43" t="str">
        <f aca="false">IF(S179="","",IF(S179&gt;0,"Win",IF(S179&lt;0,"Loss","BE")))</f>
        <v/>
      </c>
      <c r="V179" s="44" t="str">
        <f aca="false">IF(OR($H179="",R179=""),"",IFERROR(R179/(W179-S179),""))</f>
        <v/>
      </c>
      <c r="W179" s="45" t="str">
        <f aca="false">IF($H179="","",Settings!$B$3+SUM($S$2:S179))</f>
        <v/>
      </c>
      <c r="X179" s="45" t="str">
        <f aca="false">IF($H179="","",MAX(Settings!$B$3,MAX($W$2:W179)))</f>
        <v/>
      </c>
      <c r="Y179" s="44" t="str">
        <f aca="false">IF(OR($H179="",X179=""),"",IFERROR((W179-X179)/X179,""))</f>
        <v/>
      </c>
      <c r="Z179" s="35"/>
    </row>
    <row r="180" customFormat="false" ht="15" hidden="false" customHeight="true" outlineLevel="0" collapsed="false">
      <c r="A180" s="34" t="str">
        <f aca="false">IF($H180="","",ROW()-1)</f>
        <v/>
      </c>
      <c r="B180" s="35"/>
      <c r="C180" s="35"/>
      <c r="D180" s="34"/>
      <c r="E180" s="34"/>
      <c r="F180" s="35"/>
      <c r="G180" s="36"/>
      <c r="H180" s="37"/>
      <c r="I180" s="37"/>
      <c r="J180" s="37"/>
      <c r="K180" s="37"/>
      <c r="L180" s="38" t="str">
        <f aca="false">IFERROR(VLOOKUP($C180,Settings!$A$9:$C$28,2,FALSE()),"")</f>
        <v/>
      </c>
      <c r="M180" s="39" t="str">
        <f aca="false">IFERROR(VLOOKUP($C180,Settings!$A$9:$C$28,3,FALSE()),"")</f>
        <v/>
      </c>
      <c r="N180" s="40" t="str">
        <f aca="false">IF(OR($H180="",$I180=""),"",IFERROR(ABS(H180-I180)/L180,""))</f>
        <v/>
      </c>
      <c r="O180" s="40" t="str">
        <f aca="false">IF(OR($H180="",$J180=""),"",IFERROR(ABS(J180-H180)/L180,""))</f>
        <v/>
      </c>
      <c r="P180" s="41" t="str">
        <f aca="false">IF(OR(N180="",O180="",N180=0),"",O180/N180)</f>
        <v/>
      </c>
      <c r="Q180" s="40" t="str">
        <f aca="false">IF(OR($H180="",$K180=""),"",IFERROR(((K180-H180)/L180)*IF($D180="Buy",1,-1),""))</f>
        <v/>
      </c>
      <c r="R180" s="42" t="str">
        <f aca="false">IF(OR(N180="",$G180=""),"",IFERROR(N180*M180*G180,""))</f>
        <v/>
      </c>
      <c r="S180" s="42" t="str">
        <f aca="false">IF(OR(Q180="",$G180=""),"",IFERROR(Q180*M180*G180,""))</f>
        <v/>
      </c>
      <c r="T180" s="41" t="str">
        <f aca="false">IF(OR(S180="",R180="",R180=0),"",S180/R180)</f>
        <v/>
      </c>
      <c r="U180" s="43" t="str">
        <f aca="false">IF(S180="","",IF(S180&gt;0,"Win",IF(S180&lt;0,"Loss","BE")))</f>
        <v/>
      </c>
      <c r="V180" s="44" t="str">
        <f aca="false">IF(OR($H180="",R180=""),"",IFERROR(R180/(W180-S180),""))</f>
        <v/>
      </c>
      <c r="W180" s="45" t="str">
        <f aca="false">IF($H180="","",Settings!$B$3+SUM($S$2:S180))</f>
        <v/>
      </c>
      <c r="X180" s="45" t="str">
        <f aca="false">IF($H180="","",MAX(Settings!$B$3,MAX($W$2:W180)))</f>
        <v/>
      </c>
      <c r="Y180" s="44" t="str">
        <f aca="false">IF(OR($H180="",X180=""),"",IFERROR((W180-X180)/X180,""))</f>
        <v/>
      </c>
      <c r="Z180" s="35"/>
    </row>
    <row r="181" customFormat="false" ht="15" hidden="false" customHeight="true" outlineLevel="0" collapsed="false">
      <c r="A181" s="34" t="str">
        <f aca="false">IF($H181="","",ROW()-1)</f>
        <v/>
      </c>
      <c r="B181" s="35"/>
      <c r="C181" s="35"/>
      <c r="D181" s="34"/>
      <c r="E181" s="34"/>
      <c r="F181" s="35"/>
      <c r="G181" s="36"/>
      <c r="H181" s="37"/>
      <c r="I181" s="37"/>
      <c r="J181" s="37"/>
      <c r="K181" s="37"/>
      <c r="L181" s="38" t="str">
        <f aca="false">IFERROR(VLOOKUP($C181,Settings!$A$9:$C$28,2,FALSE()),"")</f>
        <v/>
      </c>
      <c r="M181" s="39" t="str">
        <f aca="false">IFERROR(VLOOKUP($C181,Settings!$A$9:$C$28,3,FALSE()),"")</f>
        <v/>
      </c>
      <c r="N181" s="40" t="str">
        <f aca="false">IF(OR($H181="",$I181=""),"",IFERROR(ABS(H181-I181)/L181,""))</f>
        <v/>
      </c>
      <c r="O181" s="40" t="str">
        <f aca="false">IF(OR($H181="",$J181=""),"",IFERROR(ABS(J181-H181)/L181,""))</f>
        <v/>
      </c>
      <c r="P181" s="41" t="str">
        <f aca="false">IF(OR(N181="",O181="",N181=0),"",O181/N181)</f>
        <v/>
      </c>
      <c r="Q181" s="40" t="str">
        <f aca="false">IF(OR($H181="",$K181=""),"",IFERROR(((K181-H181)/L181)*IF($D181="Buy",1,-1),""))</f>
        <v/>
      </c>
      <c r="R181" s="42" t="str">
        <f aca="false">IF(OR(N181="",$G181=""),"",IFERROR(N181*M181*G181,""))</f>
        <v/>
      </c>
      <c r="S181" s="42" t="str">
        <f aca="false">IF(OR(Q181="",$G181=""),"",IFERROR(Q181*M181*G181,""))</f>
        <v/>
      </c>
      <c r="T181" s="41" t="str">
        <f aca="false">IF(OR(S181="",R181="",R181=0),"",S181/R181)</f>
        <v/>
      </c>
      <c r="U181" s="43" t="str">
        <f aca="false">IF(S181="","",IF(S181&gt;0,"Win",IF(S181&lt;0,"Loss","BE")))</f>
        <v/>
      </c>
      <c r="V181" s="44" t="str">
        <f aca="false">IF(OR($H181="",R181=""),"",IFERROR(R181/(W181-S181),""))</f>
        <v/>
      </c>
      <c r="W181" s="45" t="str">
        <f aca="false">IF($H181="","",Settings!$B$3+SUM($S$2:S181))</f>
        <v/>
      </c>
      <c r="X181" s="45" t="str">
        <f aca="false">IF($H181="","",MAX(Settings!$B$3,MAX($W$2:W181)))</f>
        <v/>
      </c>
      <c r="Y181" s="44" t="str">
        <f aca="false">IF(OR($H181="",X181=""),"",IFERROR((W181-X181)/X181,""))</f>
        <v/>
      </c>
      <c r="Z181" s="35"/>
    </row>
    <row r="182" customFormat="false" ht="15" hidden="false" customHeight="true" outlineLevel="0" collapsed="false">
      <c r="A182" s="34" t="str">
        <f aca="false">IF($H182="","",ROW()-1)</f>
        <v/>
      </c>
      <c r="B182" s="35"/>
      <c r="C182" s="35"/>
      <c r="D182" s="34"/>
      <c r="E182" s="34"/>
      <c r="F182" s="35"/>
      <c r="G182" s="36"/>
      <c r="H182" s="37"/>
      <c r="I182" s="37"/>
      <c r="J182" s="37"/>
      <c r="K182" s="37"/>
      <c r="L182" s="38" t="str">
        <f aca="false">IFERROR(VLOOKUP($C182,Settings!$A$9:$C$28,2,FALSE()),"")</f>
        <v/>
      </c>
      <c r="M182" s="39" t="str">
        <f aca="false">IFERROR(VLOOKUP($C182,Settings!$A$9:$C$28,3,FALSE()),"")</f>
        <v/>
      </c>
      <c r="N182" s="40" t="str">
        <f aca="false">IF(OR($H182="",$I182=""),"",IFERROR(ABS(H182-I182)/L182,""))</f>
        <v/>
      </c>
      <c r="O182" s="40" t="str">
        <f aca="false">IF(OR($H182="",$J182=""),"",IFERROR(ABS(J182-H182)/L182,""))</f>
        <v/>
      </c>
      <c r="P182" s="41" t="str">
        <f aca="false">IF(OR(N182="",O182="",N182=0),"",O182/N182)</f>
        <v/>
      </c>
      <c r="Q182" s="40" t="str">
        <f aca="false">IF(OR($H182="",$K182=""),"",IFERROR(((K182-H182)/L182)*IF($D182="Buy",1,-1),""))</f>
        <v/>
      </c>
      <c r="R182" s="42" t="str">
        <f aca="false">IF(OR(N182="",$G182=""),"",IFERROR(N182*M182*G182,""))</f>
        <v/>
      </c>
      <c r="S182" s="42" t="str">
        <f aca="false">IF(OR(Q182="",$G182=""),"",IFERROR(Q182*M182*G182,""))</f>
        <v/>
      </c>
      <c r="T182" s="41" t="str">
        <f aca="false">IF(OR(S182="",R182="",R182=0),"",S182/R182)</f>
        <v/>
      </c>
      <c r="U182" s="43" t="str">
        <f aca="false">IF(S182="","",IF(S182&gt;0,"Win",IF(S182&lt;0,"Loss","BE")))</f>
        <v/>
      </c>
      <c r="V182" s="44" t="str">
        <f aca="false">IF(OR($H182="",R182=""),"",IFERROR(R182/(W182-S182),""))</f>
        <v/>
      </c>
      <c r="W182" s="45" t="str">
        <f aca="false">IF($H182="","",Settings!$B$3+SUM($S$2:S182))</f>
        <v/>
      </c>
      <c r="X182" s="45" t="str">
        <f aca="false">IF($H182="","",MAX(Settings!$B$3,MAX($W$2:W182)))</f>
        <v/>
      </c>
      <c r="Y182" s="44" t="str">
        <f aca="false">IF(OR($H182="",X182=""),"",IFERROR((W182-X182)/X182,""))</f>
        <v/>
      </c>
      <c r="Z182" s="35"/>
    </row>
    <row r="183" customFormat="false" ht="15" hidden="false" customHeight="true" outlineLevel="0" collapsed="false">
      <c r="A183" s="34" t="str">
        <f aca="false">IF($H183="","",ROW()-1)</f>
        <v/>
      </c>
      <c r="B183" s="35"/>
      <c r="C183" s="35"/>
      <c r="D183" s="34"/>
      <c r="E183" s="34"/>
      <c r="F183" s="35"/>
      <c r="G183" s="36"/>
      <c r="H183" s="37"/>
      <c r="I183" s="37"/>
      <c r="J183" s="37"/>
      <c r="K183" s="37"/>
      <c r="L183" s="38" t="str">
        <f aca="false">IFERROR(VLOOKUP($C183,Settings!$A$9:$C$28,2,FALSE()),"")</f>
        <v/>
      </c>
      <c r="M183" s="39" t="str">
        <f aca="false">IFERROR(VLOOKUP($C183,Settings!$A$9:$C$28,3,FALSE()),"")</f>
        <v/>
      </c>
      <c r="N183" s="40" t="str">
        <f aca="false">IF(OR($H183="",$I183=""),"",IFERROR(ABS(H183-I183)/L183,""))</f>
        <v/>
      </c>
      <c r="O183" s="40" t="str">
        <f aca="false">IF(OR($H183="",$J183=""),"",IFERROR(ABS(J183-H183)/L183,""))</f>
        <v/>
      </c>
      <c r="P183" s="41" t="str">
        <f aca="false">IF(OR(N183="",O183="",N183=0),"",O183/N183)</f>
        <v/>
      </c>
      <c r="Q183" s="40" t="str">
        <f aca="false">IF(OR($H183="",$K183=""),"",IFERROR(((K183-H183)/L183)*IF($D183="Buy",1,-1),""))</f>
        <v/>
      </c>
      <c r="R183" s="42" t="str">
        <f aca="false">IF(OR(N183="",$G183=""),"",IFERROR(N183*M183*G183,""))</f>
        <v/>
      </c>
      <c r="S183" s="42" t="str">
        <f aca="false">IF(OR(Q183="",$G183=""),"",IFERROR(Q183*M183*G183,""))</f>
        <v/>
      </c>
      <c r="T183" s="41" t="str">
        <f aca="false">IF(OR(S183="",R183="",R183=0),"",S183/R183)</f>
        <v/>
      </c>
      <c r="U183" s="43" t="str">
        <f aca="false">IF(S183="","",IF(S183&gt;0,"Win",IF(S183&lt;0,"Loss","BE")))</f>
        <v/>
      </c>
      <c r="V183" s="44" t="str">
        <f aca="false">IF(OR($H183="",R183=""),"",IFERROR(R183/(W183-S183),""))</f>
        <v/>
      </c>
      <c r="W183" s="45" t="str">
        <f aca="false">IF($H183="","",Settings!$B$3+SUM($S$2:S183))</f>
        <v/>
      </c>
      <c r="X183" s="45" t="str">
        <f aca="false">IF($H183="","",MAX(Settings!$B$3,MAX($W$2:W183)))</f>
        <v/>
      </c>
      <c r="Y183" s="44" t="str">
        <f aca="false">IF(OR($H183="",X183=""),"",IFERROR((W183-X183)/X183,""))</f>
        <v/>
      </c>
      <c r="Z183" s="35"/>
    </row>
    <row r="184" customFormat="false" ht="15" hidden="false" customHeight="true" outlineLevel="0" collapsed="false">
      <c r="A184" s="34" t="str">
        <f aca="false">IF($H184="","",ROW()-1)</f>
        <v/>
      </c>
      <c r="B184" s="35"/>
      <c r="C184" s="35"/>
      <c r="D184" s="34"/>
      <c r="E184" s="34"/>
      <c r="F184" s="35"/>
      <c r="G184" s="36"/>
      <c r="H184" s="37"/>
      <c r="I184" s="37"/>
      <c r="J184" s="37"/>
      <c r="K184" s="37"/>
      <c r="L184" s="38" t="str">
        <f aca="false">IFERROR(VLOOKUP($C184,Settings!$A$9:$C$28,2,FALSE()),"")</f>
        <v/>
      </c>
      <c r="M184" s="39" t="str">
        <f aca="false">IFERROR(VLOOKUP($C184,Settings!$A$9:$C$28,3,FALSE()),"")</f>
        <v/>
      </c>
      <c r="N184" s="40" t="str">
        <f aca="false">IF(OR($H184="",$I184=""),"",IFERROR(ABS(H184-I184)/L184,""))</f>
        <v/>
      </c>
      <c r="O184" s="40" t="str">
        <f aca="false">IF(OR($H184="",$J184=""),"",IFERROR(ABS(J184-H184)/L184,""))</f>
        <v/>
      </c>
      <c r="P184" s="41" t="str">
        <f aca="false">IF(OR(N184="",O184="",N184=0),"",O184/N184)</f>
        <v/>
      </c>
      <c r="Q184" s="40" t="str">
        <f aca="false">IF(OR($H184="",$K184=""),"",IFERROR(((K184-H184)/L184)*IF($D184="Buy",1,-1),""))</f>
        <v/>
      </c>
      <c r="R184" s="42" t="str">
        <f aca="false">IF(OR(N184="",$G184=""),"",IFERROR(N184*M184*G184,""))</f>
        <v/>
      </c>
      <c r="S184" s="42" t="str">
        <f aca="false">IF(OR(Q184="",$G184=""),"",IFERROR(Q184*M184*G184,""))</f>
        <v/>
      </c>
      <c r="T184" s="41" t="str">
        <f aca="false">IF(OR(S184="",R184="",R184=0),"",S184/R184)</f>
        <v/>
      </c>
      <c r="U184" s="43" t="str">
        <f aca="false">IF(S184="","",IF(S184&gt;0,"Win",IF(S184&lt;0,"Loss","BE")))</f>
        <v/>
      </c>
      <c r="V184" s="44" t="str">
        <f aca="false">IF(OR($H184="",R184=""),"",IFERROR(R184/(W184-S184),""))</f>
        <v/>
      </c>
      <c r="W184" s="45" t="str">
        <f aca="false">IF($H184="","",Settings!$B$3+SUM($S$2:S184))</f>
        <v/>
      </c>
      <c r="X184" s="45" t="str">
        <f aca="false">IF($H184="","",MAX(Settings!$B$3,MAX($W$2:W184)))</f>
        <v/>
      </c>
      <c r="Y184" s="44" t="str">
        <f aca="false">IF(OR($H184="",X184=""),"",IFERROR((W184-X184)/X184,""))</f>
        <v/>
      </c>
      <c r="Z184" s="35"/>
    </row>
    <row r="185" customFormat="false" ht="15" hidden="false" customHeight="true" outlineLevel="0" collapsed="false">
      <c r="A185" s="34" t="str">
        <f aca="false">IF($H185="","",ROW()-1)</f>
        <v/>
      </c>
      <c r="B185" s="35"/>
      <c r="C185" s="35"/>
      <c r="D185" s="34"/>
      <c r="E185" s="34"/>
      <c r="F185" s="35"/>
      <c r="G185" s="36"/>
      <c r="H185" s="37"/>
      <c r="I185" s="37"/>
      <c r="J185" s="37"/>
      <c r="K185" s="37"/>
      <c r="L185" s="38" t="str">
        <f aca="false">IFERROR(VLOOKUP($C185,Settings!$A$9:$C$28,2,FALSE()),"")</f>
        <v/>
      </c>
      <c r="M185" s="39" t="str">
        <f aca="false">IFERROR(VLOOKUP($C185,Settings!$A$9:$C$28,3,FALSE()),"")</f>
        <v/>
      </c>
      <c r="N185" s="40" t="str">
        <f aca="false">IF(OR($H185="",$I185=""),"",IFERROR(ABS(H185-I185)/L185,""))</f>
        <v/>
      </c>
      <c r="O185" s="40" t="str">
        <f aca="false">IF(OR($H185="",$J185=""),"",IFERROR(ABS(J185-H185)/L185,""))</f>
        <v/>
      </c>
      <c r="P185" s="41" t="str">
        <f aca="false">IF(OR(N185="",O185="",N185=0),"",O185/N185)</f>
        <v/>
      </c>
      <c r="Q185" s="40" t="str">
        <f aca="false">IF(OR($H185="",$K185=""),"",IFERROR(((K185-H185)/L185)*IF($D185="Buy",1,-1),""))</f>
        <v/>
      </c>
      <c r="R185" s="42" t="str">
        <f aca="false">IF(OR(N185="",$G185=""),"",IFERROR(N185*M185*G185,""))</f>
        <v/>
      </c>
      <c r="S185" s="42" t="str">
        <f aca="false">IF(OR(Q185="",$G185=""),"",IFERROR(Q185*M185*G185,""))</f>
        <v/>
      </c>
      <c r="T185" s="41" t="str">
        <f aca="false">IF(OR(S185="",R185="",R185=0),"",S185/R185)</f>
        <v/>
      </c>
      <c r="U185" s="43" t="str">
        <f aca="false">IF(S185="","",IF(S185&gt;0,"Win",IF(S185&lt;0,"Loss","BE")))</f>
        <v/>
      </c>
      <c r="V185" s="44" t="str">
        <f aca="false">IF(OR($H185="",R185=""),"",IFERROR(R185/(W185-S185),""))</f>
        <v/>
      </c>
      <c r="W185" s="45" t="str">
        <f aca="false">IF($H185="","",Settings!$B$3+SUM($S$2:S185))</f>
        <v/>
      </c>
      <c r="X185" s="45" t="str">
        <f aca="false">IF($H185="","",MAX(Settings!$B$3,MAX($W$2:W185)))</f>
        <v/>
      </c>
      <c r="Y185" s="44" t="str">
        <f aca="false">IF(OR($H185="",X185=""),"",IFERROR((W185-X185)/X185,""))</f>
        <v/>
      </c>
      <c r="Z185" s="35"/>
    </row>
    <row r="186" customFormat="false" ht="15" hidden="false" customHeight="true" outlineLevel="0" collapsed="false">
      <c r="A186" s="34" t="str">
        <f aca="false">IF($H186="","",ROW()-1)</f>
        <v/>
      </c>
      <c r="B186" s="35"/>
      <c r="C186" s="35"/>
      <c r="D186" s="34"/>
      <c r="E186" s="34"/>
      <c r="F186" s="35"/>
      <c r="G186" s="36"/>
      <c r="H186" s="37"/>
      <c r="I186" s="37"/>
      <c r="J186" s="37"/>
      <c r="K186" s="37"/>
      <c r="L186" s="38" t="str">
        <f aca="false">IFERROR(VLOOKUP($C186,Settings!$A$9:$C$28,2,FALSE()),"")</f>
        <v/>
      </c>
      <c r="M186" s="39" t="str">
        <f aca="false">IFERROR(VLOOKUP($C186,Settings!$A$9:$C$28,3,FALSE()),"")</f>
        <v/>
      </c>
      <c r="N186" s="40" t="str">
        <f aca="false">IF(OR($H186="",$I186=""),"",IFERROR(ABS(H186-I186)/L186,""))</f>
        <v/>
      </c>
      <c r="O186" s="40" t="str">
        <f aca="false">IF(OR($H186="",$J186=""),"",IFERROR(ABS(J186-H186)/L186,""))</f>
        <v/>
      </c>
      <c r="P186" s="41" t="str">
        <f aca="false">IF(OR(N186="",O186="",N186=0),"",O186/N186)</f>
        <v/>
      </c>
      <c r="Q186" s="40" t="str">
        <f aca="false">IF(OR($H186="",$K186=""),"",IFERROR(((K186-H186)/L186)*IF($D186="Buy",1,-1),""))</f>
        <v/>
      </c>
      <c r="R186" s="42" t="str">
        <f aca="false">IF(OR(N186="",$G186=""),"",IFERROR(N186*M186*G186,""))</f>
        <v/>
      </c>
      <c r="S186" s="42" t="str">
        <f aca="false">IF(OR(Q186="",$G186=""),"",IFERROR(Q186*M186*G186,""))</f>
        <v/>
      </c>
      <c r="T186" s="41" t="str">
        <f aca="false">IF(OR(S186="",R186="",R186=0),"",S186/R186)</f>
        <v/>
      </c>
      <c r="U186" s="43" t="str">
        <f aca="false">IF(S186="","",IF(S186&gt;0,"Win",IF(S186&lt;0,"Loss","BE")))</f>
        <v/>
      </c>
      <c r="V186" s="44" t="str">
        <f aca="false">IF(OR($H186="",R186=""),"",IFERROR(R186/(W186-S186),""))</f>
        <v/>
      </c>
      <c r="W186" s="45" t="str">
        <f aca="false">IF($H186="","",Settings!$B$3+SUM($S$2:S186))</f>
        <v/>
      </c>
      <c r="X186" s="45" t="str">
        <f aca="false">IF($H186="","",MAX(Settings!$B$3,MAX($W$2:W186)))</f>
        <v/>
      </c>
      <c r="Y186" s="44" t="str">
        <f aca="false">IF(OR($H186="",X186=""),"",IFERROR((W186-X186)/X186,""))</f>
        <v/>
      </c>
      <c r="Z186" s="35"/>
    </row>
    <row r="187" customFormat="false" ht="15" hidden="false" customHeight="true" outlineLevel="0" collapsed="false">
      <c r="A187" s="34" t="str">
        <f aca="false">IF($H187="","",ROW()-1)</f>
        <v/>
      </c>
      <c r="B187" s="35"/>
      <c r="C187" s="35"/>
      <c r="D187" s="34"/>
      <c r="E187" s="34"/>
      <c r="F187" s="35"/>
      <c r="G187" s="36"/>
      <c r="H187" s="37"/>
      <c r="I187" s="37"/>
      <c r="J187" s="37"/>
      <c r="K187" s="37"/>
      <c r="L187" s="38" t="str">
        <f aca="false">IFERROR(VLOOKUP($C187,Settings!$A$9:$C$28,2,FALSE()),"")</f>
        <v/>
      </c>
      <c r="M187" s="39" t="str">
        <f aca="false">IFERROR(VLOOKUP($C187,Settings!$A$9:$C$28,3,FALSE()),"")</f>
        <v/>
      </c>
      <c r="N187" s="40" t="str">
        <f aca="false">IF(OR($H187="",$I187=""),"",IFERROR(ABS(H187-I187)/L187,""))</f>
        <v/>
      </c>
      <c r="O187" s="40" t="str">
        <f aca="false">IF(OR($H187="",$J187=""),"",IFERROR(ABS(J187-H187)/L187,""))</f>
        <v/>
      </c>
      <c r="P187" s="41" t="str">
        <f aca="false">IF(OR(N187="",O187="",N187=0),"",O187/N187)</f>
        <v/>
      </c>
      <c r="Q187" s="40" t="str">
        <f aca="false">IF(OR($H187="",$K187=""),"",IFERROR(((K187-H187)/L187)*IF($D187="Buy",1,-1),""))</f>
        <v/>
      </c>
      <c r="R187" s="42" t="str">
        <f aca="false">IF(OR(N187="",$G187=""),"",IFERROR(N187*M187*G187,""))</f>
        <v/>
      </c>
      <c r="S187" s="42" t="str">
        <f aca="false">IF(OR(Q187="",$G187=""),"",IFERROR(Q187*M187*G187,""))</f>
        <v/>
      </c>
      <c r="T187" s="41" t="str">
        <f aca="false">IF(OR(S187="",R187="",R187=0),"",S187/R187)</f>
        <v/>
      </c>
      <c r="U187" s="43" t="str">
        <f aca="false">IF(S187="","",IF(S187&gt;0,"Win",IF(S187&lt;0,"Loss","BE")))</f>
        <v/>
      </c>
      <c r="V187" s="44" t="str">
        <f aca="false">IF(OR($H187="",R187=""),"",IFERROR(R187/(W187-S187),""))</f>
        <v/>
      </c>
      <c r="W187" s="45" t="str">
        <f aca="false">IF($H187="","",Settings!$B$3+SUM($S$2:S187))</f>
        <v/>
      </c>
      <c r="X187" s="45" t="str">
        <f aca="false">IF($H187="","",MAX(Settings!$B$3,MAX($W$2:W187)))</f>
        <v/>
      </c>
      <c r="Y187" s="44" t="str">
        <f aca="false">IF(OR($H187="",X187=""),"",IFERROR((W187-X187)/X187,""))</f>
        <v/>
      </c>
      <c r="Z187" s="35"/>
    </row>
    <row r="188" customFormat="false" ht="15" hidden="false" customHeight="true" outlineLevel="0" collapsed="false">
      <c r="A188" s="34" t="str">
        <f aca="false">IF($H188="","",ROW()-1)</f>
        <v/>
      </c>
      <c r="B188" s="35"/>
      <c r="C188" s="35"/>
      <c r="D188" s="34"/>
      <c r="E188" s="34"/>
      <c r="F188" s="35"/>
      <c r="G188" s="36"/>
      <c r="H188" s="37"/>
      <c r="I188" s="37"/>
      <c r="J188" s="37"/>
      <c r="K188" s="37"/>
      <c r="L188" s="38" t="str">
        <f aca="false">IFERROR(VLOOKUP($C188,Settings!$A$9:$C$28,2,FALSE()),"")</f>
        <v/>
      </c>
      <c r="M188" s="39" t="str">
        <f aca="false">IFERROR(VLOOKUP($C188,Settings!$A$9:$C$28,3,FALSE()),"")</f>
        <v/>
      </c>
      <c r="N188" s="40" t="str">
        <f aca="false">IF(OR($H188="",$I188=""),"",IFERROR(ABS(H188-I188)/L188,""))</f>
        <v/>
      </c>
      <c r="O188" s="40" t="str">
        <f aca="false">IF(OR($H188="",$J188=""),"",IFERROR(ABS(J188-H188)/L188,""))</f>
        <v/>
      </c>
      <c r="P188" s="41" t="str">
        <f aca="false">IF(OR(N188="",O188="",N188=0),"",O188/N188)</f>
        <v/>
      </c>
      <c r="Q188" s="40" t="str">
        <f aca="false">IF(OR($H188="",$K188=""),"",IFERROR(((K188-H188)/L188)*IF($D188="Buy",1,-1),""))</f>
        <v/>
      </c>
      <c r="R188" s="42" t="str">
        <f aca="false">IF(OR(N188="",$G188=""),"",IFERROR(N188*M188*G188,""))</f>
        <v/>
      </c>
      <c r="S188" s="42" t="str">
        <f aca="false">IF(OR(Q188="",$G188=""),"",IFERROR(Q188*M188*G188,""))</f>
        <v/>
      </c>
      <c r="T188" s="41" t="str">
        <f aca="false">IF(OR(S188="",R188="",R188=0),"",S188/R188)</f>
        <v/>
      </c>
      <c r="U188" s="43" t="str">
        <f aca="false">IF(S188="","",IF(S188&gt;0,"Win",IF(S188&lt;0,"Loss","BE")))</f>
        <v/>
      </c>
      <c r="V188" s="44" t="str">
        <f aca="false">IF(OR($H188="",R188=""),"",IFERROR(R188/(W188-S188),""))</f>
        <v/>
      </c>
      <c r="W188" s="45" t="str">
        <f aca="false">IF($H188="","",Settings!$B$3+SUM($S$2:S188))</f>
        <v/>
      </c>
      <c r="X188" s="45" t="str">
        <f aca="false">IF($H188="","",MAX(Settings!$B$3,MAX($W$2:W188)))</f>
        <v/>
      </c>
      <c r="Y188" s="44" t="str">
        <f aca="false">IF(OR($H188="",X188=""),"",IFERROR((W188-X188)/X188,""))</f>
        <v/>
      </c>
      <c r="Z188" s="35"/>
    </row>
    <row r="189" customFormat="false" ht="15" hidden="false" customHeight="true" outlineLevel="0" collapsed="false">
      <c r="A189" s="34" t="str">
        <f aca="false">IF($H189="","",ROW()-1)</f>
        <v/>
      </c>
      <c r="B189" s="35"/>
      <c r="C189" s="35"/>
      <c r="D189" s="34"/>
      <c r="E189" s="34"/>
      <c r="F189" s="35"/>
      <c r="G189" s="36"/>
      <c r="H189" s="37"/>
      <c r="I189" s="37"/>
      <c r="J189" s="37"/>
      <c r="K189" s="37"/>
      <c r="L189" s="38" t="str">
        <f aca="false">IFERROR(VLOOKUP($C189,Settings!$A$9:$C$28,2,FALSE()),"")</f>
        <v/>
      </c>
      <c r="M189" s="39" t="str">
        <f aca="false">IFERROR(VLOOKUP($C189,Settings!$A$9:$C$28,3,FALSE()),"")</f>
        <v/>
      </c>
      <c r="N189" s="40" t="str">
        <f aca="false">IF(OR($H189="",$I189=""),"",IFERROR(ABS(H189-I189)/L189,""))</f>
        <v/>
      </c>
      <c r="O189" s="40" t="str">
        <f aca="false">IF(OR($H189="",$J189=""),"",IFERROR(ABS(J189-H189)/L189,""))</f>
        <v/>
      </c>
      <c r="P189" s="41" t="str">
        <f aca="false">IF(OR(N189="",O189="",N189=0),"",O189/N189)</f>
        <v/>
      </c>
      <c r="Q189" s="40" t="str">
        <f aca="false">IF(OR($H189="",$K189=""),"",IFERROR(((K189-H189)/L189)*IF($D189="Buy",1,-1),""))</f>
        <v/>
      </c>
      <c r="R189" s="42" t="str">
        <f aca="false">IF(OR(N189="",$G189=""),"",IFERROR(N189*M189*G189,""))</f>
        <v/>
      </c>
      <c r="S189" s="42" t="str">
        <f aca="false">IF(OR(Q189="",$G189=""),"",IFERROR(Q189*M189*G189,""))</f>
        <v/>
      </c>
      <c r="T189" s="41" t="str">
        <f aca="false">IF(OR(S189="",R189="",R189=0),"",S189/R189)</f>
        <v/>
      </c>
      <c r="U189" s="43" t="str">
        <f aca="false">IF(S189="","",IF(S189&gt;0,"Win",IF(S189&lt;0,"Loss","BE")))</f>
        <v/>
      </c>
      <c r="V189" s="44" t="str">
        <f aca="false">IF(OR($H189="",R189=""),"",IFERROR(R189/(W189-S189),""))</f>
        <v/>
      </c>
      <c r="W189" s="45" t="str">
        <f aca="false">IF($H189="","",Settings!$B$3+SUM($S$2:S189))</f>
        <v/>
      </c>
      <c r="X189" s="45" t="str">
        <f aca="false">IF($H189="","",MAX(Settings!$B$3,MAX($W$2:W189)))</f>
        <v/>
      </c>
      <c r="Y189" s="44" t="str">
        <f aca="false">IF(OR($H189="",X189=""),"",IFERROR((W189-X189)/X189,""))</f>
        <v/>
      </c>
      <c r="Z189" s="35"/>
    </row>
    <row r="190" customFormat="false" ht="15" hidden="false" customHeight="true" outlineLevel="0" collapsed="false">
      <c r="A190" s="34" t="str">
        <f aca="false">IF($H190="","",ROW()-1)</f>
        <v/>
      </c>
      <c r="B190" s="35"/>
      <c r="C190" s="35"/>
      <c r="D190" s="34"/>
      <c r="E190" s="34"/>
      <c r="F190" s="35"/>
      <c r="G190" s="36"/>
      <c r="H190" s="37"/>
      <c r="I190" s="37"/>
      <c r="J190" s="37"/>
      <c r="K190" s="37"/>
      <c r="L190" s="38" t="str">
        <f aca="false">IFERROR(VLOOKUP($C190,Settings!$A$9:$C$28,2,FALSE()),"")</f>
        <v/>
      </c>
      <c r="M190" s="39" t="str">
        <f aca="false">IFERROR(VLOOKUP($C190,Settings!$A$9:$C$28,3,FALSE()),"")</f>
        <v/>
      </c>
      <c r="N190" s="40" t="str">
        <f aca="false">IF(OR($H190="",$I190=""),"",IFERROR(ABS(H190-I190)/L190,""))</f>
        <v/>
      </c>
      <c r="O190" s="40" t="str">
        <f aca="false">IF(OR($H190="",$J190=""),"",IFERROR(ABS(J190-H190)/L190,""))</f>
        <v/>
      </c>
      <c r="P190" s="41" t="str">
        <f aca="false">IF(OR(N190="",O190="",N190=0),"",O190/N190)</f>
        <v/>
      </c>
      <c r="Q190" s="40" t="str">
        <f aca="false">IF(OR($H190="",$K190=""),"",IFERROR(((K190-H190)/L190)*IF($D190="Buy",1,-1),""))</f>
        <v/>
      </c>
      <c r="R190" s="42" t="str">
        <f aca="false">IF(OR(N190="",$G190=""),"",IFERROR(N190*M190*G190,""))</f>
        <v/>
      </c>
      <c r="S190" s="42" t="str">
        <f aca="false">IF(OR(Q190="",$G190=""),"",IFERROR(Q190*M190*G190,""))</f>
        <v/>
      </c>
      <c r="T190" s="41" t="str">
        <f aca="false">IF(OR(S190="",R190="",R190=0),"",S190/R190)</f>
        <v/>
      </c>
      <c r="U190" s="43" t="str">
        <f aca="false">IF(S190="","",IF(S190&gt;0,"Win",IF(S190&lt;0,"Loss","BE")))</f>
        <v/>
      </c>
      <c r="V190" s="44" t="str">
        <f aca="false">IF(OR($H190="",R190=""),"",IFERROR(R190/(W190-S190),""))</f>
        <v/>
      </c>
      <c r="W190" s="45" t="str">
        <f aca="false">IF($H190="","",Settings!$B$3+SUM($S$2:S190))</f>
        <v/>
      </c>
      <c r="X190" s="45" t="str">
        <f aca="false">IF($H190="","",MAX(Settings!$B$3,MAX($W$2:W190)))</f>
        <v/>
      </c>
      <c r="Y190" s="44" t="str">
        <f aca="false">IF(OR($H190="",X190=""),"",IFERROR((W190-X190)/X190,""))</f>
        <v/>
      </c>
      <c r="Z190" s="35"/>
    </row>
    <row r="191" customFormat="false" ht="15" hidden="false" customHeight="true" outlineLevel="0" collapsed="false">
      <c r="A191" s="34" t="str">
        <f aca="false">IF($H191="","",ROW()-1)</f>
        <v/>
      </c>
      <c r="B191" s="35"/>
      <c r="C191" s="35"/>
      <c r="D191" s="34"/>
      <c r="E191" s="34"/>
      <c r="F191" s="35"/>
      <c r="G191" s="36"/>
      <c r="H191" s="37"/>
      <c r="I191" s="37"/>
      <c r="J191" s="37"/>
      <c r="K191" s="37"/>
      <c r="L191" s="38" t="str">
        <f aca="false">IFERROR(VLOOKUP($C191,Settings!$A$9:$C$28,2,FALSE()),"")</f>
        <v/>
      </c>
      <c r="M191" s="39" t="str">
        <f aca="false">IFERROR(VLOOKUP($C191,Settings!$A$9:$C$28,3,FALSE()),"")</f>
        <v/>
      </c>
      <c r="N191" s="40" t="str">
        <f aca="false">IF(OR($H191="",$I191=""),"",IFERROR(ABS(H191-I191)/L191,""))</f>
        <v/>
      </c>
      <c r="O191" s="40" t="str">
        <f aca="false">IF(OR($H191="",$J191=""),"",IFERROR(ABS(J191-H191)/L191,""))</f>
        <v/>
      </c>
      <c r="P191" s="41" t="str">
        <f aca="false">IF(OR(N191="",O191="",N191=0),"",O191/N191)</f>
        <v/>
      </c>
      <c r="Q191" s="40" t="str">
        <f aca="false">IF(OR($H191="",$K191=""),"",IFERROR(((K191-H191)/L191)*IF($D191="Buy",1,-1),""))</f>
        <v/>
      </c>
      <c r="R191" s="42" t="str">
        <f aca="false">IF(OR(N191="",$G191=""),"",IFERROR(N191*M191*G191,""))</f>
        <v/>
      </c>
      <c r="S191" s="42" t="str">
        <f aca="false">IF(OR(Q191="",$G191=""),"",IFERROR(Q191*M191*G191,""))</f>
        <v/>
      </c>
      <c r="T191" s="41" t="str">
        <f aca="false">IF(OR(S191="",R191="",R191=0),"",S191/R191)</f>
        <v/>
      </c>
      <c r="U191" s="43" t="str">
        <f aca="false">IF(S191="","",IF(S191&gt;0,"Win",IF(S191&lt;0,"Loss","BE")))</f>
        <v/>
      </c>
      <c r="V191" s="44" t="str">
        <f aca="false">IF(OR($H191="",R191=""),"",IFERROR(R191/(W191-S191),""))</f>
        <v/>
      </c>
      <c r="W191" s="45" t="str">
        <f aca="false">IF($H191="","",Settings!$B$3+SUM($S$2:S191))</f>
        <v/>
      </c>
      <c r="X191" s="45" t="str">
        <f aca="false">IF($H191="","",MAX(Settings!$B$3,MAX($W$2:W191)))</f>
        <v/>
      </c>
      <c r="Y191" s="44" t="str">
        <f aca="false">IF(OR($H191="",X191=""),"",IFERROR((W191-X191)/X191,""))</f>
        <v/>
      </c>
      <c r="Z191" s="35"/>
    </row>
    <row r="192" customFormat="false" ht="15" hidden="false" customHeight="true" outlineLevel="0" collapsed="false">
      <c r="A192" s="34" t="str">
        <f aca="false">IF($H192="","",ROW()-1)</f>
        <v/>
      </c>
      <c r="B192" s="35"/>
      <c r="C192" s="35"/>
      <c r="D192" s="34"/>
      <c r="E192" s="34"/>
      <c r="F192" s="35"/>
      <c r="G192" s="36"/>
      <c r="H192" s="37"/>
      <c r="I192" s="37"/>
      <c r="J192" s="37"/>
      <c r="K192" s="37"/>
      <c r="L192" s="38" t="str">
        <f aca="false">IFERROR(VLOOKUP($C192,Settings!$A$9:$C$28,2,FALSE()),"")</f>
        <v/>
      </c>
      <c r="M192" s="39" t="str">
        <f aca="false">IFERROR(VLOOKUP($C192,Settings!$A$9:$C$28,3,FALSE()),"")</f>
        <v/>
      </c>
      <c r="N192" s="40" t="str">
        <f aca="false">IF(OR($H192="",$I192=""),"",IFERROR(ABS(H192-I192)/L192,""))</f>
        <v/>
      </c>
      <c r="O192" s="40" t="str">
        <f aca="false">IF(OR($H192="",$J192=""),"",IFERROR(ABS(J192-H192)/L192,""))</f>
        <v/>
      </c>
      <c r="P192" s="41" t="str">
        <f aca="false">IF(OR(N192="",O192="",N192=0),"",O192/N192)</f>
        <v/>
      </c>
      <c r="Q192" s="40" t="str">
        <f aca="false">IF(OR($H192="",$K192=""),"",IFERROR(((K192-H192)/L192)*IF($D192="Buy",1,-1),""))</f>
        <v/>
      </c>
      <c r="R192" s="42" t="str">
        <f aca="false">IF(OR(N192="",$G192=""),"",IFERROR(N192*M192*G192,""))</f>
        <v/>
      </c>
      <c r="S192" s="42" t="str">
        <f aca="false">IF(OR(Q192="",$G192=""),"",IFERROR(Q192*M192*G192,""))</f>
        <v/>
      </c>
      <c r="T192" s="41" t="str">
        <f aca="false">IF(OR(S192="",R192="",R192=0),"",S192/R192)</f>
        <v/>
      </c>
      <c r="U192" s="43" t="str">
        <f aca="false">IF(S192="","",IF(S192&gt;0,"Win",IF(S192&lt;0,"Loss","BE")))</f>
        <v/>
      </c>
      <c r="V192" s="44" t="str">
        <f aca="false">IF(OR($H192="",R192=""),"",IFERROR(R192/(W192-S192),""))</f>
        <v/>
      </c>
      <c r="W192" s="45" t="str">
        <f aca="false">IF($H192="","",Settings!$B$3+SUM($S$2:S192))</f>
        <v/>
      </c>
      <c r="X192" s="45" t="str">
        <f aca="false">IF($H192="","",MAX(Settings!$B$3,MAX($W$2:W192)))</f>
        <v/>
      </c>
      <c r="Y192" s="44" t="str">
        <f aca="false">IF(OR($H192="",X192=""),"",IFERROR((W192-X192)/X192,""))</f>
        <v/>
      </c>
      <c r="Z192" s="35"/>
    </row>
    <row r="193" customFormat="false" ht="15" hidden="false" customHeight="true" outlineLevel="0" collapsed="false">
      <c r="A193" s="34" t="str">
        <f aca="false">IF($H193="","",ROW()-1)</f>
        <v/>
      </c>
      <c r="B193" s="35"/>
      <c r="C193" s="35"/>
      <c r="D193" s="34"/>
      <c r="E193" s="34"/>
      <c r="F193" s="35"/>
      <c r="G193" s="36"/>
      <c r="H193" s="37"/>
      <c r="I193" s="37"/>
      <c r="J193" s="37"/>
      <c r="K193" s="37"/>
      <c r="L193" s="38" t="str">
        <f aca="false">IFERROR(VLOOKUP($C193,Settings!$A$9:$C$28,2,FALSE()),"")</f>
        <v/>
      </c>
      <c r="M193" s="39" t="str">
        <f aca="false">IFERROR(VLOOKUP($C193,Settings!$A$9:$C$28,3,FALSE()),"")</f>
        <v/>
      </c>
      <c r="N193" s="40" t="str">
        <f aca="false">IF(OR($H193="",$I193=""),"",IFERROR(ABS(H193-I193)/L193,""))</f>
        <v/>
      </c>
      <c r="O193" s="40" t="str">
        <f aca="false">IF(OR($H193="",$J193=""),"",IFERROR(ABS(J193-H193)/L193,""))</f>
        <v/>
      </c>
      <c r="P193" s="41" t="str">
        <f aca="false">IF(OR(N193="",O193="",N193=0),"",O193/N193)</f>
        <v/>
      </c>
      <c r="Q193" s="40" t="str">
        <f aca="false">IF(OR($H193="",$K193=""),"",IFERROR(((K193-H193)/L193)*IF($D193="Buy",1,-1),""))</f>
        <v/>
      </c>
      <c r="R193" s="42" t="str">
        <f aca="false">IF(OR(N193="",$G193=""),"",IFERROR(N193*M193*G193,""))</f>
        <v/>
      </c>
      <c r="S193" s="42" t="str">
        <f aca="false">IF(OR(Q193="",$G193=""),"",IFERROR(Q193*M193*G193,""))</f>
        <v/>
      </c>
      <c r="T193" s="41" t="str">
        <f aca="false">IF(OR(S193="",R193="",R193=0),"",S193/R193)</f>
        <v/>
      </c>
      <c r="U193" s="43" t="str">
        <f aca="false">IF(S193="","",IF(S193&gt;0,"Win",IF(S193&lt;0,"Loss","BE")))</f>
        <v/>
      </c>
      <c r="V193" s="44" t="str">
        <f aca="false">IF(OR($H193="",R193=""),"",IFERROR(R193/(W193-S193),""))</f>
        <v/>
      </c>
      <c r="W193" s="45" t="str">
        <f aca="false">IF($H193="","",Settings!$B$3+SUM($S$2:S193))</f>
        <v/>
      </c>
      <c r="X193" s="45" t="str">
        <f aca="false">IF($H193="","",MAX(Settings!$B$3,MAX($W$2:W193)))</f>
        <v/>
      </c>
      <c r="Y193" s="44" t="str">
        <f aca="false">IF(OR($H193="",X193=""),"",IFERROR((W193-X193)/X193,""))</f>
        <v/>
      </c>
      <c r="Z193" s="35"/>
    </row>
    <row r="194" customFormat="false" ht="15" hidden="false" customHeight="true" outlineLevel="0" collapsed="false">
      <c r="A194" s="34" t="str">
        <f aca="false">IF($H194="","",ROW()-1)</f>
        <v/>
      </c>
      <c r="B194" s="35"/>
      <c r="C194" s="35"/>
      <c r="D194" s="34"/>
      <c r="E194" s="34"/>
      <c r="F194" s="35"/>
      <c r="G194" s="36"/>
      <c r="H194" s="37"/>
      <c r="I194" s="37"/>
      <c r="J194" s="37"/>
      <c r="K194" s="37"/>
      <c r="L194" s="38" t="str">
        <f aca="false">IFERROR(VLOOKUP($C194,Settings!$A$9:$C$28,2,FALSE()),"")</f>
        <v/>
      </c>
      <c r="M194" s="39" t="str">
        <f aca="false">IFERROR(VLOOKUP($C194,Settings!$A$9:$C$28,3,FALSE()),"")</f>
        <v/>
      </c>
      <c r="N194" s="40" t="str">
        <f aca="false">IF(OR($H194="",$I194=""),"",IFERROR(ABS(H194-I194)/L194,""))</f>
        <v/>
      </c>
      <c r="O194" s="40" t="str">
        <f aca="false">IF(OR($H194="",$J194=""),"",IFERROR(ABS(J194-H194)/L194,""))</f>
        <v/>
      </c>
      <c r="P194" s="41" t="str">
        <f aca="false">IF(OR(N194="",O194="",N194=0),"",O194/N194)</f>
        <v/>
      </c>
      <c r="Q194" s="40" t="str">
        <f aca="false">IF(OR($H194="",$K194=""),"",IFERROR(((K194-H194)/L194)*IF($D194="Buy",1,-1),""))</f>
        <v/>
      </c>
      <c r="R194" s="42" t="str">
        <f aca="false">IF(OR(N194="",$G194=""),"",IFERROR(N194*M194*G194,""))</f>
        <v/>
      </c>
      <c r="S194" s="42" t="str">
        <f aca="false">IF(OR(Q194="",$G194=""),"",IFERROR(Q194*M194*G194,""))</f>
        <v/>
      </c>
      <c r="T194" s="41" t="str">
        <f aca="false">IF(OR(S194="",R194="",R194=0),"",S194/R194)</f>
        <v/>
      </c>
      <c r="U194" s="43" t="str">
        <f aca="false">IF(S194="","",IF(S194&gt;0,"Win",IF(S194&lt;0,"Loss","BE")))</f>
        <v/>
      </c>
      <c r="V194" s="44" t="str">
        <f aca="false">IF(OR($H194="",R194=""),"",IFERROR(R194/(W194-S194),""))</f>
        <v/>
      </c>
      <c r="W194" s="45" t="str">
        <f aca="false">IF($H194="","",Settings!$B$3+SUM($S$2:S194))</f>
        <v/>
      </c>
      <c r="X194" s="45" t="str">
        <f aca="false">IF($H194="","",MAX(Settings!$B$3,MAX($W$2:W194)))</f>
        <v/>
      </c>
      <c r="Y194" s="44" t="str">
        <f aca="false">IF(OR($H194="",X194=""),"",IFERROR((W194-X194)/X194,""))</f>
        <v/>
      </c>
      <c r="Z194" s="35"/>
    </row>
    <row r="195" customFormat="false" ht="15" hidden="false" customHeight="true" outlineLevel="0" collapsed="false">
      <c r="A195" s="34" t="str">
        <f aca="false">IF($H195="","",ROW()-1)</f>
        <v/>
      </c>
      <c r="B195" s="35"/>
      <c r="C195" s="35"/>
      <c r="D195" s="34"/>
      <c r="E195" s="34"/>
      <c r="F195" s="35"/>
      <c r="G195" s="36"/>
      <c r="H195" s="37"/>
      <c r="I195" s="37"/>
      <c r="J195" s="37"/>
      <c r="K195" s="37"/>
      <c r="L195" s="38" t="str">
        <f aca="false">IFERROR(VLOOKUP($C195,Settings!$A$9:$C$28,2,FALSE()),"")</f>
        <v/>
      </c>
      <c r="M195" s="39" t="str">
        <f aca="false">IFERROR(VLOOKUP($C195,Settings!$A$9:$C$28,3,FALSE()),"")</f>
        <v/>
      </c>
      <c r="N195" s="40" t="str">
        <f aca="false">IF(OR($H195="",$I195=""),"",IFERROR(ABS(H195-I195)/L195,""))</f>
        <v/>
      </c>
      <c r="O195" s="40" t="str">
        <f aca="false">IF(OR($H195="",$J195=""),"",IFERROR(ABS(J195-H195)/L195,""))</f>
        <v/>
      </c>
      <c r="P195" s="41" t="str">
        <f aca="false">IF(OR(N195="",O195="",N195=0),"",O195/N195)</f>
        <v/>
      </c>
      <c r="Q195" s="40" t="str">
        <f aca="false">IF(OR($H195="",$K195=""),"",IFERROR(((K195-H195)/L195)*IF($D195="Buy",1,-1),""))</f>
        <v/>
      </c>
      <c r="R195" s="42" t="str">
        <f aca="false">IF(OR(N195="",$G195=""),"",IFERROR(N195*M195*G195,""))</f>
        <v/>
      </c>
      <c r="S195" s="42" t="str">
        <f aca="false">IF(OR(Q195="",$G195=""),"",IFERROR(Q195*M195*G195,""))</f>
        <v/>
      </c>
      <c r="T195" s="41" t="str">
        <f aca="false">IF(OR(S195="",R195="",R195=0),"",S195/R195)</f>
        <v/>
      </c>
      <c r="U195" s="43" t="str">
        <f aca="false">IF(S195="","",IF(S195&gt;0,"Win",IF(S195&lt;0,"Loss","BE")))</f>
        <v/>
      </c>
      <c r="V195" s="44" t="str">
        <f aca="false">IF(OR($H195="",R195=""),"",IFERROR(R195/(W195-S195),""))</f>
        <v/>
      </c>
      <c r="W195" s="45" t="str">
        <f aca="false">IF($H195="","",Settings!$B$3+SUM($S$2:S195))</f>
        <v/>
      </c>
      <c r="X195" s="45" t="str">
        <f aca="false">IF($H195="","",MAX(Settings!$B$3,MAX($W$2:W195)))</f>
        <v/>
      </c>
      <c r="Y195" s="44" t="str">
        <f aca="false">IF(OR($H195="",X195=""),"",IFERROR((W195-X195)/X195,""))</f>
        <v/>
      </c>
      <c r="Z195" s="35"/>
    </row>
    <row r="196" customFormat="false" ht="15" hidden="false" customHeight="true" outlineLevel="0" collapsed="false">
      <c r="A196" s="34" t="str">
        <f aca="false">IF($H196="","",ROW()-1)</f>
        <v/>
      </c>
      <c r="B196" s="35"/>
      <c r="C196" s="35"/>
      <c r="D196" s="34"/>
      <c r="E196" s="34"/>
      <c r="F196" s="35"/>
      <c r="G196" s="36"/>
      <c r="H196" s="37"/>
      <c r="I196" s="37"/>
      <c r="J196" s="37"/>
      <c r="K196" s="37"/>
      <c r="L196" s="38" t="str">
        <f aca="false">IFERROR(VLOOKUP($C196,Settings!$A$9:$C$28,2,FALSE()),"")</f>
        <v/>
      </c>
      <c r="M196" s="39" t="str">
        <f aca="false">IFERROR(VLOOKUP($C196,Settings!$A$9:$C$28,3,FALSE()),"")</f>
        <v/>
      </c>
      <c r="N196" s="40" t="str">
        <f aca="false">IF(OR($H196="",$I196=""),"",IFERROR(ABS(H196-I196)/L196,""))</f>
        <v/>
      </c>
      <c r="O196" s="40" t="str">
        <f aca="false">IF(OR($H196="",$J196=""),"",IFERROR(ABS(J196-H196)/L196,""))</f>
        <v/>
      </c>
      <c r="P196" s="41" t="str">
        <f aca="false">IF(OR(N196="",O196="",N196=0),"",O196/N196)</f>
        <v/>
      </c>
      <c r="Q196" s="40" t="str">
        <f aca="false">IF(OR($H196="",$K196=""),"",IFERROR(((K196-H196)/L196)*IF($D196="Buy",1,-1),""))</f>
        <v/>
      </c>
      <c r="R196" s="42" t="str">
        <f aca="false">IF(OR(N196="",$G196=""),"",IFERROR(N196*M196*G196,""))</f>
        <v/>
      </c>
      <c r="S196" s="42" t="str">
        <f aca="false">IF(OR(Q196="",$G196=""),"",IFERROR(Q196*M196*G196,""))</f>
        <v/>
      </c>
      <c r="T196" s="41" t="str">
        <f aca="false">IF(OR(S196="",R196="",R196=0),"",S196/R196)</f>
        <v/>
      </c>
      <c r="U196" s="43" t="str">
        <f aca="false">IF(S196="","",IF(S196&gt;0,"Win",IF(S196&lt;0,"Loss","BE")))</f>
        <v/>
      </c>
      <c r="V196" s="44" t="str">
        <f aca="false">IF(OR($H196="",R196=""),"",IFERROR(R196/(W196-S196),""))</f>
        <v/>
      </c>
      <c r="W196" s="45" t="str">
        <f aca="false">IF($H196="","",Settings!$B$3+SUM($S$2:S196))</f>
        <v/>
      </c>
      <c r="X196" s="45" t="str">
        <f aca="false">IF($H196="","",MAX(Settings!$B$3,MAX($W$2:W196)))</f>
        <v/>
      </c>
      <c r="Y196" s="44" t="str">
        <f aca="false">IF(OR($H196="",X196=""),"",IFERROR((W196-X196)/X196,""))</f>
        <v/>
      </c>
      <c r="Z196" s="35"/>
    </row>
    <row r="197" customFormat="false" ht="15" hidden="false" customHeight="true" outlineLevel="0" collapsed="false">
      <c r="A197" s="34" t="str">
        <f aca="false">IF($H197="","",ROW()-1)</f>
        <v/>
      </c>
      <c r="B197" s="35"/>
      <c r="C197" s="35"/>
      <c r="D197" s="34"/>
      <c r="E197" s="34"/>
      <c r="F197" s="35"/>
      <c r="G197" s="36"/>
      <c r="H197" s="37"/>
      <c r="I197" s="37"/>
      <c r="J197" s="37"/>
      <c r="K197" s="37"/>
      <c r="L197" s="38" t="str">
        <f aca="false">IFERROR(VLOOKUP($C197,Settings!$A$9:$C$28,2,FALSE()),"")</f>
        <v/>
      </c>
      <c r="M197" s="39" t="str">
        <f aca="false">IFERROR(VLOOKUP($C197,Settings!$A$9:$C$28,3,FALSE()),"")</f>
        <v/>
      </c>
      <c r="N197" s="40" t="str">
        <f aca="false">IF(OR($H197="",$I197=""),"",IFERROR(ABS(H197-I197)/L197,""))</f>
        <v/>
      </c>
      <c r="O197" s="40" t="str">
        <f aca="false">IF(OR($H197="",$J197=""),"",IFERROR(ABS(J197-H197)/L197,""))</f>
        <v/>
      </c>
      <c r="P197" s="41" t="str">
        <f aca="false">IF(OR(N197="",O197="",N197=0),"",O197/N197)</f>
        <v/>
      </c>
      <c r="Q197" s="40" t="str">
        <f aca="false">IF(OR($H197="",$K197=""),"",IFERROR(((K197-H197)/L197)*IF($D197="Buy",1,-1),""))</f>
        <v/>
      </c>
      <c r="R197" s="42" t="str">
        <f aca="false">IF(OR(N197="",$G197=""),"",IFERROR(N197*M197*G197,""))</f>
        <v/>
      </c>
      <c r="S197" s="42" t="str">
        <f aca="false">IF(OR(Q197="",$G197=""),"",IFERROR(Q197*M197*G197,""))</f>
        <v/>
      </c>
      <c r="T197" s="41" t="str">
        <f aca="false">IF(OR(S197="",R197="",R197=0),"",S197/R197)</f>
        <v/>
      </c>
      <c r="U197" s="43" t="str">
        <f aca="false">IF(S197="","",IF(S197&gt;0,"Win",IF(S197&lt;0,"Loss","BE")))</f>
        <v/>
      </c>
      <c r="V197" s="44" t="str">
        <f aca="false">IF(OR($H197="",R197=""),"",IFERROR(R197/(W197-S197),""))</f>
        <v/>
      </c>
      <c r="W197" s="45" t="str">
        <f aca="false">IF($H197="","",Settings!$B$3+SUM($S$2:S197))</f>
        <v/>
      </c>
      <c r="X197" s="45" t="str">
        <f aca="false">IF($H197="","",MAX(Settings!$B$3,MAX($W$2:W197)))</f>
        <v/>
      </c>
      <c r="Y197" s="44" t="str">
        <f aca="false">IF(OR($H197="",X197=""),"",IFERROR((W197-X197)/X197,""))</f>
        <v/>
      </c>
      <c r="Z197" s="35"/>
    </row>
    <row r="198" customFormat="false" ht="15" hidden="false" customHeight="true" outlineLevel="0" collapsed="false">
      <c r="A198" s="34" t="str">
        <f aca="false">IF($H198="","",ROW()-1)</f>
        <v/>
      </c>
      <c r="B198" s="35"/>
      <c r="C198" s="35"/>
      <c r="D198" s="34"/>
      <c r="E198" s="34"/>
      <c r="F198" s="35"/>
      <c r="G198" s="36"/>
      <c r="H198" s="37"/>
      <c r="I198" s="37"/>
      <c r="J198" s="37"/>
      <c r="K198" s="37"/>
      <c r="L198" s="38" t="str">
        <f aca="false">IFERROR(VLOOKUP($C198,Settings!$A$9:$C$28,2,FALSE()),"")</f>
        <v/>
      </c>
      <c r="M198" s="39" t="str">
        <f aca="false">IFERROR(VLOOKUP($C198,Settings!$A$9:$C$28,3,FALSE()),"")</f>
        <v/>
      </c>
      <c r="N198" s="40" t="str">
        <f aca="false">IF(OR($H198="",$I198=""),"",IFERROR(ABS(H198-I198)/L198,""))</f>
        <v/>
      </c>
      <c r="O198" s="40" t="str">
        <f aca="false">IF(OR($H198="",$J198=""),"",IFERROR(ABS(J198-H198)/L198,""))</f>
        <v/>
      </c>
      <c r="P198" s="41" t="str">
        <f aca="false">IF(OR(N198="",O198="",N198=0),"",O198/N198)</f>
        <v/>
      </c>
      <c r="Q198" s="40" t="str">
        <f aca="false">IF(OR($H198="",$K198=""),"",IFERROR(((K198-H198)/L198)*IF($D198="Buy",1,-1),""))</f>
        <v/>
      </c>
      <c r="R198" s="42" t="str">
        <f aca="false">IF(OR(N198="",$G198=""),"",IFERROR(N198*M198*G198,""))</f>
        <v/>
      </c>
      <c r="S198" s="42" t="str">
        <f aca="false">IF(OR(Q198="",$G198=""),"",IFERROR(Q198*M198*G198,""))</f>
        <v/>
      </c>
      <c r="T198" s="41" t="str">
        <f aca="false">IF(OR(S198="",R198="",R198=0),"",S198/R198)</f>
        <v/>
      </c>
      <c r="U198" s="43" t="str">
        <f aca="false">IF(S198="","",IF(S198&gt;0,"Win",IF(S198&lt;0,"Loss","BE")))</f>
        <v/>
      </c>
      <c r="V198" s="44" t="str">
        <f aca="false">IF(OR($H198="",R198=""),"",IFERROR(R198/(W198-S198),""))</f>
        <v/>
      </c>
      <c r="W198" s="45" t="str">
        <f aca="false">IF($H198="","",Settings!$B$3+SUM($S$2:S198))</f>
        <v/>
      </c>
      <c r="X198" s="45" t="str">
        <f aca="false">IF($H198="","",MAX(Settings!$B$3,MAX($W$2:W198)))</f>
        <v/>
      </c>
      <c r="Y198" s="44" t="str">
        <f aca="false">IF(OR($H198="",X198=""),"",IFERROR((W198-X198)/X198,""))</f>
        <v/>
      </c>
      <c r="Z198" s="35"/>
    </row>
    <row r="199" customFormat="false" ht="15" hidden="false" customHeight="true" outlineLevel="0" collapsed="false">
      <c r="A199" s="34" t="str">
        <f aca="false">IF($H199="","",ROW()-1)</f>
        <v/>
      </c>
      <c r="B199" s="35"/>
      <c r="C199" s="35"/>
      <c r="D199" s="34"/>
      <c r="E199" s="34"/>
      <c r="F199" s="35"/>
      <c r="G199" s="36"/>
      <c r="H199" s="37"/>
      <c r="I199" s="37"/>
      <c r="J199" s="37"/>
      <c r="K199" s="37"/>
      <c r="L199" s="38" t="str">
        <f aca="false">IFERROR(VLOOKUP($C199,Settings!$A$9:$C$28,2,FALSE()),"")</f>
        <v/>
      </c>
      <c r="M199" s="39" t="str">
        <f aca="false">IFERROR(VLOOKUP($C199,Settings!$A$9:$C$28,3,FALSE()),"")</f>
        <v/>
      </c>
      <c r="N199" s="40" t="str">
        <f aca="false">IF(OR($H199="",$I199=""),"",IFERROR(ABS(H199-I199)/L199,""))</f>
        <v/>
      </c>
      <c r="O199" s="40" t="str">
        <f aca="false">IF(OR($H199="",$J199=""),"",IFERROR(ABS(J199-H199)/L199,""))</f>
        <v/>
      </c>
      <c r="P199" s="41" t="str">
        <f aca="false">IF(OR(N199="",O199="",N199=0),"",O199/N199)</f>
        <v/>
      </c>
      <c r="Q199" s="40" t="str">
        <f aca="false">IF(OR($H199="",$K199=""),"",IFERROR(((K199-H199)/L199)*IF($D199="Buy",1,-1),""))</f>
        <v/>
      </c>
      <c r="R199" s="42" t="str">
        <f aca="false">IF(OR(N199="",$G199=""),"",IFERROR(N199*M199*G199,""))</f>
        <v/>
      </c>
      <c r="S199" s="42" t="str">
        <f aca="false">IF(OR(Q199="",$G199=""),"",IFERROR(Q199*M199*G199,""))</f>
        <v/>
      </c>
      <c r="T199" s="41" t="str">
        <f aca="false">IF(OR(S199="",R199="",R199=0),"",S199/R199)</f>
        <v/>
      </c>
      <c r="U199" s="43" t="str">
        <f aca="false">IF(S199="","",IF(S199&gt;0,"Win",IF(S199&lt;0,"Loss","BE")))</f>
        <v/>
      </c>
      <c r="V199" s="44" t="str">
        <f aca="false">IF(OR($H199="",R199=""),"",IFERROR(R199/(W199-S199),""))</f>
        <v/>
      </c>
      <c r="W199" s="45" t="str">
        <f aca="false">IF($H199="","",Settings!$B$3+SUM($S$2:S199))</f>
        <v/>
      </c>
      <c r="X199" s="45" t="str">
        <f aca="false">IF($H199="","",MAX(Settings!$B$3,MAX($W$2:W199)))</f>
        <v/>
      </c>
      <c r="Y199" s="44" t="str">
        <f aca="false">IF(OR($H199="",X199=""),"",IFERROR((W199-X199)/X199,""))</f>
        <v/>
      </c>
      <c r="Z199" s="35"/>
    </row>
    <row r="200" customFormat="false" ht="15" hidden="false" customHeight="true" outlineLevel="0" collapsed="false">
      <c r="A200" s="34" t="str">
        <f aca="false">IF($H200="","",ROW()-1)</f>
        <v/>
      </c>
      <c r="B200" s="35"/>
      <c r="C200" s="35"/>
      <c r="D200" s="34"/>
      <c r="E200" s="34"/>
      <c r="F200" s="35"/>
      <c r="G200" s="36"/>
      <c r="H200" s="37"/>
      <c r="I200" s="37"/>
      <c r="J200" s="37"/>
      <c r="K200" s="37"/>
      <c r="L200" s="38" t="str">
        <f aca="false">IFERROR(VLOOKUP($C200,Settings!$A$9:$C$28,2,FALSE()),"")</f>
        <v/>
      </c>
      <c r="M200" s="39" t="str">
        <f aca="false">IFERROR(VLOOKUP($C200,Settings!$A$9:$C$28,3,FALSE()),"")</f>
        <v/>
      </c>
      <c r="N200" s="40" t="str">
        <f aca="false">IF(OR($H200="",$I200=""),"",IFERROR(ABS(H200-I200)/L200,""))</f>
        <v/>
      </c>
      <c r="O200" s="40" t="str">
        <f aca="false">IF(OR($H200="",$J200=""),"",IFERROR(ABS(J200-H200)/L200,""))</f>
        <v/>
      </c>
      <c r="P200" s="41" t="str">
        <f aca="false">IF(OR(N200="",O200="",N200=0),"",O200/N200)</f>
        <v/>
      </c>
      <c r="Q200" s="40" t="str">
        <f aca="false">IF(OR($H200="",$K200=""),"",IFERROR(((K200-H200)/L200)*IF($D200="Buy",1,-1),""))</f>
        <v/>
      </c>
      <c r="R200" s="42" t="str">
        <f aca="false">IF(OR(N200="",$G200=""),"",IFERROR(N200*M200*G200,""))</f>
        <v/>
      </c>
      <c r="S200" s="42" t="str">
        <f aca="false">IF(OR(Q200="",$G200=""),"",IFERROR(Q200*M200*G200,""))</f>
        <v/>
      </c>
      <c r="T200" s="41" t="str">
        <f aca="false">IF(OR(S200="",R200="",R200=0),"",S200/R200)</f>
        <v/>
      </c>
      <c r="U200" s="43" t="str">
        <f aca="false">IF(S200="","",IF(S200&gt;0,"Win",IF(S200&lt;0,"Loss","BE")))</f>
        <v/>
      </c>
      <c r="V200" s="44" t="str">
        <f aca="false">IF(OR($H200="",R200=""),"",IFERROR(R200/(W200-S200),""))</f>
        <v/>
      </c>
      <c r="W200" s="45" t="str">
        <f aca="false">IF($H200="","",Settings!$B$3+SUM($S$2:S200))</f>
        <v/>
      </c>
      <c r="X200" s="45" t="str">
        <f aca="false">IF($H200="","",MAX(Settings!$B$3,MAX($W$2:W200)))</f>
        <v/>
      </c>
      <c r="Y200" s="44" t="str">
        <f aca="false">IF(OR($H200="",X200=""),"",IFERROR((W200-X200)/X200,""))</f>
        <v/>
      </c>
      <c r="Z200" s="35"/>
    </row>
    <row r="201" customFormat="false" ht="15" hidden="false" customHeight="true" outlineLevel="0" collapsed="false">
      <c r="A201" s="34" t="str">
        <f aca="false">IF($H201="","",ROW()-1)</f>
        <v/>
      </c>
      <c r="B201" s="35"/>
      <c r="C201" s="35"/>
      <c r="D201" s="34"/>
      <c r="E201" s="34"/>
      <c r="F201" s="35"/>
      <c r="G201" s="36"/>
      <c r="H201" s="37"/>
      <c r="I201" s="37"/>
      <c r="J201" s="37"/>
      <c r="K201" s="37"/>
      <c r="L201" s="38" t="str">
        <f aca="false">IFERROR(VLOOKUP($C201,Settings!$A$9:$C$28,2,FALSE()),"")</f>
        <v/>
      </c>
      <c r="M201" s="39" t="str">
        <f aca="false">IFERROR(VLOOKUP($C201,Settings!$A$9:$C$28,3,FALSE()),"")</f>
        <v/>
      </c>
      <c r="N201" s="40" t="str">
        <f aca="false">IF(OR($H201="",$I201=""),"",IFERROR(ABS(H201-I201)/L201,""))</f>
        <v/>
      </c>
      <c r="O201" s="40" t="str">
        <f aca="false">IF(OR($H201="",$J201=""),"",IFERROR(ABS(J201-H201)/L201,""))</f>
        <v/>
      </c>
      <c r="P201" s="41" t="str">
        <f aca="false">IF(OR(N201="",O201="",N201=0),"",O201/N201)</f>
        <v/>
      </c>
      <c r="Q201" s="40" t="str">
        <f aca="false">IF(OR($H201="",$K201=""),"",IFERROR(((K201-H201)/L201)*IF($D201="Buy",1,-1),""))</f>
        <v/>
      </c>
      <c r="R201" s="42" t="str">
        <f aca="false">IF(OR(N201="",$G201=""),"",IFERROR(N201*M201*G201,""))</f>
        <v/>
      </c>
      <c r="S201" s="42" t="str">
        <f aca="false">IF(OR(Q201="",$G201=""),"",IFERROR(Q201*M201*G201,""))</f>
        <v/>
      </c>
      <c r="T201" s="41" t="str">
        <f aca="false">IF(OR(S201="",R201="",R201=0),"",S201/R201)</f>
        <v/>
      </c>
      <c r="U201" s="43" t="str">
        <f aca="false">IF(S201="","",IF(S201&gt;0,"Win",IF(S201&lt;0,"Loss","BE")))</f>
        <v/>
      </c>
      <c r="V201" s="44" t="str">
        <f aca="false">IF(OR($H201="",R201=""),"",IFERROR(R201/(W201-S201),""))</f>
        <v/>
      </c>
      <c r="W201" s="45" t="str">
        <f aca="false">IF($H201="","",Settings!$B$3+SUM($S$2:S201))</f>
        <v/>
      </c>
      <c r="X201" s="45" t="str">
        <f aca="false">IF($H201="","",MAX(Settings!$B$3,MAX($W$2:W201)))</f>
        <v/>
      </c>
      <c r="Y201" s="44" t="str">
        <f aca="false">IF(OR($H201="",X201=""),"",IFERROR((W201-X201)/X201,""))</f>
        <v/>
      </c>
      <c r="Z201" s="35"/>
    </row>
  </sheetData>
  <conditionalFormatting sqref="U2:U201">
    <cfRule type="cellIs" priority="2" operator="equal" aboveAverage="0" equalAverage="0" bottom="0" percent="0" rank="0" text="" dxfId="0">
      <formula>"Win"</formula>
    </cfRule>
    <cfRule type="cellIs" priority="3" operator="equal" aboveAverage="0" equalAverage="0" bottom="0" percent="0" rank="0" text="" dxfId="1">
      <formula>"Loss"</formula>
    </cfRule>
    <cfRule type="cellIs" priority="4" operator="equal" aboveAverage="0" equalAverage="0" bottom="0" percent="0" rank="0" text="" dxfId="2">
      <formula>"BE"</formula>
    </cfRule>
  </conditionalFormatting>
  <dataValidations count="4">
    <dataValidation allowBlank="true" errorStyle="stop" operator="between" showDropDown="false" showErrorMessage="false" showInputMessage="false" sqref="D2:D201" type="list">
      <formula1>"Buy,Sell"</formula1>
      <formula2>0</formula2>
    </dataValidation>
    <dataValidation allowBlank="true" errorStyle="stop" operator="between" showDropDown="false" showErrorMessage="false" showInputMessage="false" sqref="E2:E201" type="list">
      <formula1>"New York AM,New York PM,London,Asia,London-NY Overlap"</formula1>
      <formula2>0</formula2>
    </dataValidation>
    <dataValidation allowBlank="true" errorStyle="stop" operator="between" showDropDown="false" showErrorMessage="false" showInputMessage="false" sqref="F2:F201" type="list">
      <formula1>"FVG,Order Block,OTE,Liquidity Sweep,BOS,CHoCH,Breaker,Mitigation,Turtle Soup"</formula1>
      <formula2>0</formula2>
    </dataValidation>
    <dataValidation allowBlank="true" errorStyle="stop" operator="between" showDropDown="false" showErrorMessage="false" showInputMessage="false" sqref="C2:C201" type="list">
      <formula1>Settings!$A$9:$A$28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2026-06-23T20:37:05Z</dcterms:created>
  <dc:creator>openpyxl</dc:creator>
  <dc:description/>
  <dc:language>en-US</dc:language>
  <cp:lastModifiedBy/>
  <dcterms:modified xsi:type="dcterms:W3CDTF">2026-06-26T22:21:19Z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